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c608\Desktop\P_I_Sym_KW2\"/>
    </mc:Choice>
  </mc:AlternateContent>
  <xr:revisionPtr revIDLastSave="0" documentId="13_ncr:1_{7DA84B7E-268F-47B7-8FD3-A6138754BA7E}" xr6:coauthVersionLast="47" xr6:coauthVersionMax="47" xr10:uidLastSave="{00000000-0000-0000-0000-000000000000}"/>
  <bookViews>
    <workbookView xWindow="-108" yWindow="-108" windowWidth="23256" windowHeight="12456" activeTab="2" xr2:uid="{8C4CCD92-25F6-4A95-B374-C93942FEFA4B}"/>
  </bookViews>
  <sheets>
    <sheet name="zad1" sheetId="1" r:id="rId1"/>
    <sheet name="zad2" sheetId="2" r:id="rId2"/>
    <sheet name="zad3" sheetId="3" r:id="rId3"/>
  </sheets>
  <definedNames>
    <definedName name="solver_adj" localSheetId="0" hidden="1">zad1!$L$1</definedName>
    <definedName name="solver_adj" localSheetId="1" hidden="1">zad2!$J$12:$J$13</definedName>
    <definedName name="solver_adj" localSheetId="2" hidden="1">zad3!$J$9:$J$10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zad1!$L$1</definedName>
    <definedName name="solver_lhs1" localSheetId="1" hidden="1">zad2!$J$12:$J$13</definedName>
    <definedName name="solver_lhs1" localSheetId="2" hidden="1">zad3!$J$10</definedName>
    <definedName name="solver_lhs2" localSheetId="0" hidden="1">zad1!$L$1</definedName>
    <definedName name="solver_lhs2" localSheetId="1" hidden="1">zad2!$J$12:$J$13</definedName>
    <definedName name="solver_lhs2" localSheetId="2" hidden="1">zad3!$J$10</definedName>
    <definedName name="solver_lhs3" localSheetId="2" hidden="1">zad3!$J$9</definedName>
    <definedName name="solver_lhs4" localSheetId="2" hidden="1">zad3!$J$9</definedName>
    <definedName name="solver_lhs5" localSheetId="2" hidden="1">zad3!$J$9:$J$10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2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2</definedName>
    <definedName name="solver_num" localSheetId="1" hidden="1">2</definedName>
    <definedName name="solver_num" localSheetId="2" hidden="1">4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zad1!$D$20</definedName>
    <definedName name="solver_opt" localSheetId="1" hidden="1">zad2!$E$16</definedName>
    <definedName name="solver_opt" localSheetId="2" hidden="1">zad3!$I$13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el1" localSheetId="0" hidden="1">1</definedName>
    <definedName name="solver_rel1" localSheetId="1" hidden="1">1</definedName>
    <definedName name="solver_rel1" localSheetId="2" hidden="1">1</definedName>
    <definedName name="solver_rel2" localSheetId="0" hidden="1">3</definedName>
    <definedName name="solver_rel2" localSheetId="1" hidden="1">3</definedName>
    <definedName name="solver_rel2" localSheetId="2" hidden="1">3</definedName>
    <definedName name="solver_rel3" localSheetId="2" hidden="1">1</definedName>
    <definedName name="solver_rel4" localSheetId="2" hidden="1">3</definedName>
    <definedName name="solver_rel5" localSheetId="2" hidden="1">3</definedName>
    <definedName name="solver_rhs1" localSheetId="0" hidden="1">1</definedName>
    <definedName name="solver_rhs1" localSheetId="1" hidden="1">1</definedName>
    <definedName name="solver_rhs1" localSheetId="2" hidden="1">1</definedName>
    <definedName name="solver_rhs2" localSheetId="0" hidden="1">0</definedName>
    <definedName name="solver_rhs2" localSheetId="1" hidden="1">0</definedName>
    <definedName name="solver_rhs2" localSheetId="2" hidden="1">0.0000001</definedName>
    <definedName name="solver_rhs3" localSheetId="2" hidden="1">1</definedName>
    <definedName name="solver_rhs4" localSheetId="2" hidden="1">0.00000001</definedName>
    <definedName name="solver_rhs5" localSheetId="2" hidden="1">0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" i="3" l="1"/>
  <c r="R4" i="3"/>
  <c r="Q4" i="2"/>
  <c r="P4" i="3"/>
  <c r="Q3" i="3"/>
  <c r="P3" i="3"/>
  <c r="R18" i="2"/>
  <c r="P4" i="2"/>
  <c r="S4" i="2"/>
  <c r="R4" i="2"/>
  <c r="Q3" i="2"/>
  <c r="P3" i="2"/>
  <c r="M14" i="1"/>
  <c r="N4" i="1"/>
  <c r="M5" i="1"/>
  <c r="M6" i="1" s="1"/>
  <c r="M7" i="1" s="1"/>
  <c r="M8" i="1" s="1"/>
  <c r="M9" i="1" s="1"/>
  <c r="M10" i="1" s="1"/>
  <c r="M11" i="1" s="1"/>
  <c r="M12" i="1" s="1"/>
  <c r="M13" i="1" s="1"/>
  <c r="N13" i="1" s="1"/>
  <c r="D17" i="1"/>
  <c r="D16" i="1"/>
  <c r="D15" i="1"/>
  <c r="D14" i="1"/>
  <c r="Q4" i="3" l="1"/>
  <c r="P5" i="3" s="1"/>
  <c r="R5" i="2"/>
  <c r="S5" i="2" s="1"/>
  <c r="P5" i="2"/>
  <c r="N12" i="1"/>
  <c r="N8" i="1"/>
  <c r="N7" i="1"/>
  <c r="N6" i="1"/>
  <c r="N11" i="1"/>
  <c r="N10" i="1"/>
  <c r="N9" i="1"/>
  <c r="N5" i="1"/>
  <c r="R5" i="3" l="1"/>
  <c r="S5" i="3" s="1"/>
  <c r="Q5" i="3"/>
  <c r="R6" i="3" s="1"/>
  <c r="S6" i="3" s="1"/>
  <c r="Q5" i="2"/>
  <c r="P6" i="2" s="1"/>
  <c r="Q6" i="2" s="1"/>
  <c r="E19" i="1"/>
  <c r="D20" i="1" s="1"/>
  <c r="P6" i="3" l="1"/>
  <c r="Q6" i="3" s="1"/>
  <c r="P7" i="3" s="1"/>
  <c r="Q7" i="3" s="1"/>
  <c r="R8" i="3" s="1"/>
  <c r="S8" i="3" s="1"/>
  <c r="P7" i="2"/>
  <c r="R6" i="2"/>
  <c r="S6" i="2" s="1"/>
  <c r="R7" i="2"/>
  <c r="S7" i="2" s="1"/>
  <c r="R7" i="3" l="1"/>
  <c r="S7" i="3" s="1"/>
  <c r="P8" i="3"/>
  <c r="Q8" i="3" s="1"/>
  <c r="P9" i="3" s="1"/>
  <c r="Q7" i="2"/>
  <c r="R8" i="2" s="1"/>
  <c r="S8" i="2" s="1"/>
  <c r="R9" i="3" l="1"/>
  <c r="S9" i="3" s="1"/>
  <c r="Q9" i="3"/>
  <c r="P10" i="3" s="1"/>
  <c r="P8" i="2"/>
  <c r="R10" i="3" l="1"/>
  <c r="S10" i="3" s="1"/>
  <c r="Q10" i="3"/>
  <c r="P11" i="3" s="1"/>
  <c r="Q8" i="2"/>
  <c r="R9" i="2" s="1"/>
  <c r="S9" i="2" s="1"/>
  <c r="R11" i="3" l="1"/>
  <c r="S11" i="3" s="1"/>
  <c r="Q11" i="3"/>
  <c r="P12" i="3" s="1"/>
  <c r="P9" i="2"/>
  <c r="Q9" i="2" s="1"/>
  <c r="R10" i="2" s="1"/>
  <c r="S10" i="2" s="1"/>
  <c r="R12" i="3" l="1"/>
  <c r="S12" i="3" s="1"/>
  <c r="Q12" i="3"/>
  <c r="P13" i="3" s="1"/>
  <c r="P10" i="2"/>
  <c r="R13" i="3" l="1"/>
  <c r="S13" i="3" s="1"/>
  <c r="Q13" i="3"/>
  <c r="R14" i="3" s="1"/>
  <c r="S14" i="3" s="1"/>
  <c r="Q10" i="2"/>
  <c r="P11" i="2" s="1"/>
  <c r="I12" i="3" l="1"/>
  <c r="I13" i="3" s="1"/>
  <c r="P14" i="3"/>
  <c r="Q14" i="3" s="1"/>
  <c r="Q11" i="2"/>
  <c r="R12" i="2" s="1"/>
  <c r="S12" i="2" s="1"/>
  <c r="R11" i="2"/>
  <c r="S11" i="2" s="1"/>
  <c r="P12" i="2" l="1"/>
  <c r="Q12" i="2" s="1"/>
  <c r="P13" i="2" s="1"/>
  <c r="Q13" i="2" l="1"/>
  <c r="P14" i="2" s="1"/>
  <c r="R13" i="2"/>
  <c r="S13" i="2" s="1"/>
  <c r="R14" i="2" l="1"/>
  <c r="S14" i="2" s="1"/>
  <c r="Q14" i="2"/>
  <c r="R15" i="2" s="1"/>
  <c r="S15" i="2" s="1"/>
  <c r="P15" i="2" l="1"/>
  <c r="Q15" i="2" s="1"/>
  <c r="R16" i="2" s="1"/>
  <c r="S16" i="2" s="1"/>
  <c r="P16" i="2" l="1"/>
  <c r="Q16" i="2" s="1"/>
  <c r="P17" i="2" s="1"/>
  <c r="Q17" i="2" s="1"/>
  <c r="R17" i="2" l="1"/>
  <c r="S17" i="2" s="1"/>
  <c r="G15" i="2" s="1"/>
  <c r="E16" i="2" s="1"/>
</calcChain>
</file>

<file path=xl/sharedStrings.xml><?xml version="1.0" encoding="utf-8"?>
<sst xmlns="http://schemas.openxmlformats.org/spreadsheetml/2006/main" count="48" uniqueCount="35">
  <si>
    <t>t</t>
  </si>
  <si>
    <t>Yt</t>
  </si>
  <si>
    <t>średnia:</t>
  </si>
  <si>
    <t>Wariancja:</t>
  </si>
  <si>
    <t>Odchyl.Std:</t>
  </si>
  <si>
    <t>Wsp.Zmien:</t>
  </si>
  <si>
    <t>&lt;10% zróżnicowanie niewielkie</t>
  </si>
  <si>
    <t>alfa=</t>
  </si>
  <si>
    <t>Y*t</t>
  </si>
  <si>
    <t>-</t>
  </si>
  <si>
    <t>wzór</t>
  </si>
  <si>
    <t>(Yt-Y*t)^2</t>
  </si>
  <si>
    <t>śr kw błąd prognoz ex post</t>
  </si>
  <si>
    <t>Sp=RMSE=</t>
  </si>
  <si>
    <t>S^2p</t>
  </si>
  <si>
    <t>z slovera</t>
  </si>
  <si>
    <t>min</t>
  </si>
  <si>
    <t>Sprzedaż</t>
  </si>
  <si>
    <t>alfa</t>
  </si>
  <si>
    <t>beta</t>
  </si>
  <si>
    <t>Ft</t>
  </si>
  <si>
    <t>St</t>
  </si>
  <si>
    <t>T</t>
  </si>
  <si>
    <t>Kwartały</t>
  </si>
  <si>
    <t>Lata</t>
  </si>
  <si>
    <t>średni bł kwadratowy ex post</t>
  </si>
  <si>
    <t>Sp=</t>
  </si>
  <si>
    <t>idk czy wyniki dobrze w tym zadaniu bo inaczej niż na tablicy</t>
  </si>
  <si>
    <t>beta=</t>
  </si>
  <si>
    <t>śr bł kw</t>
  </si>
  <si>
    <t>sp</t>
  </si>
  <si>
    <t>slover zeruje kurde bete idk czemu</t>
  </si>
  <si>
    <t>nieeeee wiem głupi ten solver</t>
  </si>
  <si>
    <t>chyba źłe używam wzoru na tego holta sprawdzić potem</t>
  </si>
  <si>
    <t>bo się wyniki nie zgadzają kompletnie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</si>
</sst>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3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0" fontId="0" fillId="0" borderId="0" xfId="0" applyNumberFormat="1"/>
    <xf numFmtId="0" fontId="0" fillId="0" borderId="1" xfId="0" applyBorder="1"/>
    <xf numFmtId="167" fontId="0" fillId="0" borderId="0" xfId="0" applyNumberFormat="1"/>
    <xf numFmtId="2" fontId="0" fillId="0" borderId="0" xfId="0" applyNumberFormat="1"/>
    <xf numFmtId="0" fontId="0" fillId="0" borderId="0" xfId="0" quotePrefix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quotePrefix="1" applyBorder="1"/>
    <xf numFmtId="2" fontId="0" fillId="0" borderId="1" xfId="0" applyNumberFormat="1" applyBorder="1"/>
    <xf numFmtId="0" fontId="0" fillId="0" borderId="1" xfId="0" applyFill="1" applyBorder="1"/>
    <xf numFmtId="0" fontId="2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8.5311695193030446E-2"/>
          <c:y val="6.1558575515982913E-2"/>
          <c:w val="0.87753018372703417"/>
          <c:h val="0.841674686497521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zad2!$O$2</c:f>
              <c:strCache>
                <c:ptCount val="1"/>
                <c:pt idx="0">
                  <c:v>Yt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zad2!$N$3:$N$17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zad2!$O$3:$O$17</c:f>
              <c:numCache>
                <c:formatCode>General</c:formatCode>
                <c:ptCount val="15"/>
                <c:pt idx="0">
                  <c:v>37</c:v>
                </c:pt>
                <c:pt idx="1">
                  <c:v>41</c:v>
                </c:pt>
                <c:pt idx="2">
                  <c:v>40</c:v>
                </c:pt>
                <c:pt idx="3">
                  <c:v>41</c:v>
                </c:pt>
                <c:pt idx="4">
                  <c:v>45</c:v>
                </c:pt>
                <c:pt idx="5">
                  <c:v>42</c:v>
                </c:pt>
                <c:pt idx="6">
                  <c:v>46</c:v>
                </c:pt>
                <c:pt idx="7">
                  <c:v>48</c:v>
                </c:pt>
                <c:pt idx="8">
                  <c:v>47</c:v>
                </c:pt>
                <c:pt idx="9">
                  <c:v>53</c:v>
                </c:pt>
                <c:pt idx="10">
                  <c:v>58</c:v>
                </c:pt>
                <c:pt idx="11">
                  <c:v>67</c:v>
                </c:pt>
                <c:pt idx="12">
                  <c:v>79</c:v>
                </c:pt>
                <c:pt idx="13">
                  <c:v>85</c:v>
                </c:pt>
                <c:pt idx="14">
                  <c:v>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63-4A4B-8B63-41ECB2CD5BDA}"/>
            </c:ext>
          </c:extLst>
        </c:ser>
        <c:ser>
          <c:idx val="1"/>
          <c:order val="1"/>
          <c:tx>
            <c:v>Prognoza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zad2!$N$4:$N$17</c:f>
              <c:numCache>
                <c:formatCode>General</c:formatCode>
                <c:ptCount val="1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</c:numCache>
            </c:numRef>
          </c:xVal>
          <c:yVal>
            <c:numRef>
              <c:f>zad2!$R$4:$R$17</c:f>
              <c:numCache>
                <c:formatCode>0.00</c:formatCode>
                <c:ptCount val="14"/>
                <c:pt idx="0" formatCode="General">
                  <c:v>41</c:v>
                </c:pt>
                <c:pt idx="1">
                  <c:v>43.88</c:v>
                </c:pt>
                <c:pt idx="2">
                  <c:v>46.753600000000013</c:v>
                </c:pt>
                <c:pt idx="3">
                  <c:v>48.31219200000001</c:v>
                </c:pt>
                <c:pt idx="4">
                  <c:v>49.174090240000019</c:v>
                </c:pt>
                <c:pt idx="5">
                  <c:v>50.329681612800023</c:v>
                </c:pt>
                <c:pt idx="6">
                  <c:v>49.987780182016024</c:v>
                </c:pt>
                <c:pt idx="7">
                  <c:v>50.195236622827544</c:v>
                </c:pt>
                <c:pt idx="8">
                  <c:v>50.585582845650556</c:v>
                </c:pt>
                <c:pt idx="9">
                  <c:v>50.411013196256917</c:v>
                </c:pt>
                <c:pt idx="10">
                  <c:v>51.678476421041466</c:v>
                </c:pt>
                <c:pt idx="11">
                  <c:v>54.198168887185787</c:v>
                </c:pt>
                <c:pt idx="12">
                  <c:v>59.038069349126374</c:v>
                </c:pt>
                <c:pt idx="13">
                  <c:v>66.90694417074873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63-4A4B-8B63-41ECB2CD5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942800"/>
        <c:axId val="208946960"/>
      </c:scatterChart>
      <c:valAx>
        <c:axId val="20894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layout>
            <c:manualLayout>
              <c:xMode val="edge"/>
              <c:yMode val="edge"/>
              <c:x val="0.42532870010966944"/>
              <c:y val="0.941656072715566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8946960"/>
        <c:crosses val="autoZero"/>
        <c:crossBetween val="midCat"/>
      </c:valAx>
      <c:valAx>
        <c:axId val="20894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8942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198121</xdr:colOff>
      <xdr:row>11</xdr:row>
      <xdr:rowOff>169849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3644AD4A-9207-4216-BBC0-E41AD975B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524500" cy="21815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53340</xdr:rowOff>
    </xdr:from>
    <xdr:to>
      <xdr:col>10</xdr:col>
      <xdr:colOff>434340</xdr:colOff>
      <xdr:row>10</xdr:row>
      <xdr:rowOff>15490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54F0517B-2DA1-4A6D-99BF-0AAB50621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"/>
          <a:ext cx="6545580" cy="1790950"/>
        </a:xfrm>
        <a:prstGeom prst="rect">
          <a:avLst/>
        </a:prstGeom>
      </xdr:spPr>
    </xdr:pic>
    <xdr:clientData/>
  </xdr:twoCellAnchor>
  <xdr:twoCellAnchor>
    <xdr:from>
      <xdr:col>2</xdr:col>
      <xdr:colOff>83820</xdr:colOff>
      <xdr:row>17</xdr:row>
      <xdr:rowOff>125730</xdr:rowOff>
    </xdr:from>
    <xdr:to>
      <xdr:col>10</xdr:col>
      <xdr:colOff>60960</xdr:colOff>
      <xdr:row>34</xdr:row>
      <xdr:rowOff>60960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DF9CB308-E905-4BDD-B63D-6AE536F10B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201074</xdr:colOff>
      <xdr:row>7</xdr:row>
      <xdr:rowOff>139263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511FBC32-5A79-44A0-9BB1-18B080D9B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16274" cy="1419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257D0-3E0D-428B-802C-AEF939B421E0}">
  <dimension ref="B1:N20"/>
  <sheetViews>
    <sheetView workbookViewId="0">
      <selection activeCell="P15" sqref="P15"/>
    </sheetView>
  </sheetViews>
  <sheetFormatPr defaultRowHeight="14.4" x14ac:dyDescent="0.3"/>
  <cols>
    <col min="3" max="3" width="12.77734375" customWidth="1"/>
    <col min="4" max="4" width="11.5546875" customWidth="1"/>
  </cols>
  <sheetData>
    <row r="1" spans="3:14" x14ac:dyDescent="0.3">
      <c r="J1">
        <v>0.2</v>
      </c>
      <c r="K1" t="s">
        <v>7</v>
      </c>
      <c r="L1">
        <v>7.4177379967456256E-2</v>
      </c>
      <c r="N1" t="s">
        <v>15</v>
      </c>
    </row>
    <row r="2" spans="3:14" x14ac:dyDescent="0.3">
      <c r="M2" t="s">
        <v>10</v>
      </c>
    </row>
    <row r="3" spans="3:14" x14ac:dyDescent="0.3">
      <c r="K3" s="7" t="s">
        <v>0</v>
      </c>
      <c r="L3" s="7" t="s">
        <v>1</v>
      </c>
      <c r="M3" s="7" t="s">
        <v>8</v>
      </c>
      <c r="N3" s="7" t="s">
        <v>11</v>
      </c>
    </row>
    <row r="4" spans="3:14" x14ac:dyDescent="0.3">
      <c r="K4" s="2">
        <v>1</v>
      </c>
      <c r="L4" s="2">
        <v>12</v>
      </c>
      <c r="M4" s="8">
        <v>12</v>
      </c>
      <c r="N4" s="2">
        <f>(L4-M4)^2</f>
        <v>0</v>
      </c>
    </row>
    <row r="5" spans="3:14" x14ac:dyDescent="0.3">
      <c r="K5" s="2">
        <v>2</v>
      </c>
      <c r="L5" s="2">
        <v>13</v>
      </c>
      <c r="M5" s="2">
        <f>$L$1*L4+(1-$L$1)*M4</f>
        <v>12</v>
      </c>
      <c r="N5" s="2">
        <f t="shared" ref="N5:N13" si="0">(L5-M5)^2</f>
        <v>1</v>
      </c>
    </row>
    <row r="6" spans="3:14" x14ac:dyDescent="0.3">
      <c r="K6" s="2">
        <v>3</v>
      </c>
      <c r="L6" s="2">
        <v>11</v>
      </c>
      <c r="M6" s="2">
        <f t="shared" ref="M6:M14" si="1">$L$1*L5+(1-$L$1)*M5</f>
        <v>12.074177379967457</v>
      </c>
      <c r="N6" s="2">
        <f t="shared" si="0"/>
        <v>1.153857043633751</v>
      </c>
    </row>
    <row r="7" spans="3:14" x14ac:dyDescent="0.3">
      <c r="K7" s="2">
        <v>4</v>
      </c>
      <c r="L7" s="2">
        <v>13</v>
      </c>
      <c r="M7" s="2">
        <f t="shared" si="1"/>
        <v>11.994497716301165</v>
      </c>
      <c r="N7" s="2">
        <f t="shared" si="0"/>
        <v>1.0110348425235725</v>
      </c>
    </row>
    <row r="8" spans="3:14" x14ac:dyDescent="0.3">
      <c r="K8" s="2">
        <v>5</v>
      </c>
      <c r="L8" s="2">
        <v>14</v>
      </c>
      <c r="M8" s="9">
        <f t="shared" si="1"/>
        <v>12.069083241257239</v>
      </c>
      <c r="N8" s="2">
        <f t="shared" si="0"/>
        <v>3.7284395291936496</v>
      </c>
    </row>
    <row r="9" spans="3:14" x14ac:dyDescent="0.3">
      <c r="K9" s="2">
        <v>6</v>
      </c>
      <c r="L9" s="2">
        <v>12</v>
      </c>
      <c r="M9" s="9">
        <f t="shared" si="1"/>
        <v>12.212313587356032</v>
      </c>
      <c r="N9" s="2">
        <f t="shared" si="0"/>
        <v>4.5077059375987528E-2</v>
      </c>
    </row>
    <row r="10" spans="3:14" x14ac:dyDescent="0.3">
      <c r="K10" s="2">
        <v>7</v>
      </c>
      <c r="L10" s="2">
        <v>14</v>
      </c>
      <c r="M10" s="9">
        <f t="shared" si="1"/>
        <v>12.19656472171447</v>
      </c>
      <c r="N10" s="2">
        <f t="shared" si="0"/>
        <v>3.2523788029648073</v>
      </c>
    </row>
    <row r="11" spans="3:14" x14ac:dyDescent="0.3">
      <c r="K11" s="2">
        <v>8</v>
      </c>
      <c r="L11" s="2">
        <v>13</v>
      </c>
      <c r="M11" s="9">
        <f t="shared" si="1"/>
        <v>12.33033882559857</v>
      </c>
      <c r="N11" s="2">
        <f t="shared" si="0"/>
        <v>0.44844608850070217</v>
      </c>
    </row>
    <row r="12" spans="3:14" x14ac:dyDescent="0.3">
      <c r="K12" s="2">
        <v>9</v>
      </c>
      <c r="L12" s="2">
        <v>11</v>
      </c>
      <c r="M12" s="9">
        <f t="shared" si="1"/>
        <v>12.380012536981599</v>
      </c>
      <c r="N12" s="2">
        <f t="shared" si="0"/>
        <v>1.9044346022263903</v>
      </c>
    </row>
    <row r="13" spans="3:14" x14ac:dyDescent="0.3">
      <c r="K13" s="2">
        <v>10</v>
      </c>
      <c r="L13" s="2">
        <v>12</v>
      </c>
      <c r="M13" s="9">
        <f t="shared" si="1"/>
        <v>12.277646822666062</v>
      </c>
      <c r="N13" s="2">
        <f t="shared" si="0"/>
        <v>7.7087758136559797E-2</v>
      </c>
    </row>
    <row r="14" spans="3:14" x14ac:dyDescent="0.3">
      <c r="C14" t="s">
        <v>2</v>
      </c>
      <c r="D14">
        <f>AVERAGE(L4:L13)</f>
        <v>12.5</v>
      </c>
      <c r="K14" s="10">
        <v>11</v>
      </c>
      <c r="L14" s="2"/>
      <c r="M14" s="9">
        <f t="shared" si="1"/>
        <v>12.257051708804404</v>
      </c>
      <c r="N14" s="2"/>
    </row>
    <row r="15" spans="3:14" x14ac:dyDescent="0.3">
      <c r="C15" t="s">
        <v>3</v>
      </c>
      <c r="D15">
        <f>_xlfn.VAR.P(L4:L13)</f>
        <v>1.05</v>
      </c>
    </row>
    <row r="16" spans="3:14" x14ac:dyDescent="0.3">
      <c r="C16" t="s">
        <v>4</v>
      </c>
      <c r="D16" s="3">
        <f>_xlfn.STDEV.P(L4:L13)</f>
        <v>1.0246950765959599</v>
      </c>
    </row>
    <row r="17" spans="2:5" x14ac:dyDescent="0.3">
      <c r="C17" t="s">
        <v>5</v>
      </c>
      <c r="D17" s="1">
        <f>D16/D14</f>
        <v>8.1975606127676792E-2</v>
      </c>
      <c r="E17" t="s">
        <v>6</v>
      </c>
    </row>
    <row r="19" spans="2:5" x14ac:dyDescent="0.3">
      <c r="B19" t="s">
        <v>14</v>
      </c>
      <c r="C19" t="s">
        <v>12</v>
      </c>
      <c r="E19" s="4">
        <f>AVERAGE(N4:N13)</f>
        <v>1.2620755726555422</v>
      </c>
    </row>
    <row r="20" spans="2:5" x14ac:dyDescent="0.3">
      <c r="C20" t="s">
        <v>13</v>
      </c>
      <c r="D20" s="4">
        <f>SQRT(E19)</f>
        <v>1.1234213691467427</v>
      </c>
      <c r="E20" t="s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94C4-0CF0-44CB-9200-5DA714CE9F12}">
  <dimension ref="C1:S18"/>
  <sheetViews>
    <sheetView workbookViewId="0">
      <selection activeCell="R18" sqref="R18"/>
    </sheetView>
  </sheetViews>
  <sheetFormatPr defaultRowHeight="14.4" x14ac:dyDescent="0.3"/>
  <cols>
    <col min="5" max="5" width="9.109375" bestFit="1" customWidth="1"/>
  </cols>
  <sheetData>
    <row r="1" spans="3:19" x14ac:dyDescent="0.3">
      <c r="O1" t="s">
        <v>17</v>
      </c>
    </row>
    <row r="2" spans="3:19" x14ac:dyDescent="0.3">
      <c r="L2" s="7" t="s">
        <v>24</v>
      </c>
      <c r="M2" s="7" t="s">
        <v>23</v>
      </c>
      <c r="N2" s="7" t="s">
        <v>22</v>
      </c>
      <c r="O2" s="7" t="s">
        <v>1</v>
      </c>
      <c r="P2" s="13" t="s">
        <v>20</v>
      </c>
      <c r="Q2" s="13" t="s">
        <v>21</v>
      </c>
      <c r="R2" s="13" t="s">
        <v>8</v>
      </c>
      <c r="S2" s="13" t="s">
        <v>11</v>
      </c>
    </row>
    <row r="3" spans="3:19" x14ac:dyDescent="0.3">
      <c r="L3" s="11">
        <v>2014</v>
      </c>
      <c r="M3" s="6">
        <v>1</v>
      </c>
      <c r="N3" s="6">
        <v>1</v>
      </c>
      <c r="O3" s="6">
        <v>37</v>
      </c>
      <c r="P3" s="6">
        <f>O3</f>
        <v>37</v>
      </c>
      <c r="Q3" s="6">
        <f>O4-O3</f>
        <v>4</v>
      </c>
      <c r="R3" s="14" t="s">
        <v>9</v>
      </c>
      <c r="S3" s="8" t="s">
        <v>9</v>
      </c>
    </row>
    <row r="4" spans="3:19" x14ac:dyDescent="0.3">
      <c r="L4" s="11"/>
      <c r="M4" s="6">
        <v>2</v>
      </c>
      <c r="N4" s="6">
        <v>2</v>
      </c>
      <c r="O4" s="6">
        <v>41</v>
      </c>
      <c r="P4" s="6">
        <f>$J$12*O3+(1-$J$12)*(P3+Q3)</f>
        <v>40.200000000000003</v>
      </c>
      <c r="Q4" s="6">
        <f>$J$13*(P4-P3)+(1-$J$13)*Q3</f>
        <v>3.680000000000001</v>
      </c>
      <c r="R4" s="6">
        <f>P3+Q3</f>
        <v>41</v>
      </c>
      <c r="S4" s="15">
        <f>(O4-R4)^2</f>
        <v>0</v>
      </c>
    </row>
    <row r="5" spans="3:19" x14ac:dyDescent="0.3">
      <c r="L5" s="11"/>
      <c r="M5" s="6">
        <v>3</v>
      </c>
      <c r="N5" s="6">
        <v>3</v>
      </c>
      <c r="O5" s="6">
        <v>40</v>
      </c>
      <c r="P5" s="15">
        <f t="shared" ref="P5:P17" si="0">$J$12*O4+(1-$J$12)*(P4+Q4)</f>
        <v>43.304000000000009</v>
      </c>
      <c r="Q5" s="15">
        <f t="shared" ref="Q5:Q17" si="1">$J$13*(P5-P4)+(1-$J$13)*Q4</f>
        <v>3.4496000000000033</v>
      </c>
      <c r="R5" s="15">
        <f t="shared" ref="R5:R17" si="2">P4+Q4</f>
        <v>43.88</v>
      </c>
      <c r="S5" s="15">
        <f t="shared" ref="S5:S17" si="3">(O5-R5)^2</f>
        <v>15.054400000000021</v>
      </c>
    </row>
    <row r="6" spans="3:19" x14ac:dyDescent="0.3">
      <c r="L6" s="11"/>
      <c r="M6" s="6">
        <v>4</v>
      </c>
      <c r="N6" s="6">
        <v>4</v>
      </c>
      <c r="O6" s="6">
        <v>41</v>
      </c>
      <c r="P6" s="15">
        <f t="shared" si="0"/>
        <v>45.40288000000001</v>
      </c>
      <c r="Q6" s="15">
        <f t="shared" si="1"/>
        <v>2.9093120000000026</v>
      </c>
      <c r="R6" s="15">
        <f t="shared" si="2"/>
        <v>46.753600000000013</v>
      </c>
      <c r="S6" s="15">
        <f t="shared" si="3"/>
        <v>33.103912960000152</v>
      </c>
    </row>
    <row r="7" spans="3:19" x14ac:dyDescent="0.3">
      <c r="L7" s="11">
        <v>2015</v>
      </c>
      <c r="M7" s="6">
        <v>1</v>
      </c>
      <c r="N7" s="6">
        <v>5</v>
      </c>
      <c r="O7" s="6">
        <v>45</v>
      </c>
      <c r="P7" s="15">
        <f t="shared" si="0"/>
        <v>46.849753600000014</v>
      </c>
      <c r="Q7" s="15">
        <f t="shared" si="1"/>
        <v>2.324336640000003</v>
      </c>
      <c r="R7" s="15">
        <f t="shared" si="2"/>
        <v>48.31219200000001</v>
      </c>
      <c r="S7" s="15">
        <f t="shared" si="3"/>
        <v>10.970615844864067</v>
      </c>
    </row>
    <row r="8" spans="3:19" x14ac:dyDescent="0.3">
      <c r="L8" s="11"/>
      <c r="M8" s="6">
        <v>2</v>
      </c>
      <c r="N8" s="6">
        <v>6</v>
      </c>
      <c r="O8" s="6">
        <v>42</v>
      </c>
      <c r="P8" s="15">
        <f t="shared" si="0"/>
        <v>48.339272192000017</v>
      </c>
      <c r="Q8" s="15">
        <f t="shared" si="1"/>
        <v>1.9904094208000029</v>
      </c>
      <c r="R8" s="15">
        <f t="shared" si="2"/>
        <v>49.174090240000019</v>
      </c>
      <c r="S8" s="15">
        <f t="shared" si="3"/>
        <v>51.467570771663539</v>
      </c>
    </row>
    <row r="9" spans="3:19" x14ac:dyDescent="0.3">
      <c r="L9" s="11"/>
      <c r="M9" s="6">
        <v>3</v>
      </c>
      <c r="N9" s="6">
        <v>7</v>
      </c>
      <c r="O9" s="6">
        <v>46</v>
      </c>
      <c r="P9" s="15">
        <f t="shared" si="0"/>
        <v>48.663745290240023</v>
      </c>
      <c r="Q9" s="15">
        <f t="shared" si="1"/>
        <v>1.3240348917760041</v>
      </c>
      <c r="R9" s="15">
        <f t="shared" si="2"/>
        <v>50.329681612800023</v>
      </c>
      <c r="S9" s="15">
        <f t="shared" si="3"/>
        <v>18.746142868218609</v>
      </c>
    </row>
    <row r="10" spans="3:19" x14ac:dyDescent="0.3">
      <c r="L10" s="11"/>
      <c r="M10" s="6">
        <v>4</v>
      </c>
      <c r="N10" s="6">
        <v>8</v>
      </c>
      <c r="O10" s="6">
        <v>48</v>
      </c>
      <c r="P10" s="15">
        <f t="shared" si="0"/>
        <v>49.190224145612824</v>
      </c>
      <c r="Q10" s="15">
        <f t="shared" si="1"/>
        <v>1.0050124772147229</v>
      </c>
      <c r="R10" s="15">
        <f t="shared" si="2"/>
        <v>49.987780182016024</v>
      </c>
      <c r="S10" s="15">
        <f t="shared" si="3"/>
        <v>3.951270052015659</v>
      </c>
    </row>
    <row r="11" spans="3:19" x14ac:dyDescent="0.3">
      <c r="C11" t="s">
        <v>27</v>
      </c>
      <c r="L11" s="11">
        <v>2016</v>
      </c>
      <c r="M11" s="6">
        <v>1</v>
      </c>
      <c r="N11" s="6">
        <v>9</v>
      </c>
      <c r="O11" s="6">
        <v>47</v>
      </c>
      <c r="P11" s="15">
        <f t="shared" si="0"/>
        <v>49.756189298262036</v>
      </c>
      <c r="Q11" s="15">
        <f t="shared" si="1"/>
        <v>0.82939354738851878</v>
      </c>
      <c r="R11" s="15">
        <f t="shared" si="2"/>
        <v>50.195236622827544</v>
      </c>
      <c r="S11" s="15">
        <f t="shared" si="3"/>
        <v>10.209537075858368</v>
      </c>
    </row>
    <row r="12" spans="3:19" x14ac:dyDescent="0.3">
      <c r="I12" t="s">
        <v>18</v>
      </c>
      <c r="J12">
        <v>0.2</v>
      </c>
      <c r="L12" s="11"/>
      <c r="M12" s="6">
        <v>2</v>
      </c>
      <c r="N12" s="6">
        <v>10</v>
      </c>
      <c r="O12" s="6">
        <v>53</v>
      </c>
      <c r="P12" s="15">
        <f t="shared" si="0"/>
        <v>49.868466276520444</v>
      </c>
      <c r="Q12" s="15">
        <f t="shared" si="1"/>
        <v>0.54254691973647406</v>
      </c>
      <c r="R12" s="15">
        <f t="shared" si="2"/>
        <v>50.585582845650556</v>
      </c>
      <c r="S12" s="15">
        <f t="shared" si="3"/>
        <v>5.8294101952168651</v>
      </c>
    </row>
    <row r="13" spans="3:19" x14ac:dyDescent="0.3">
      <c r="I13" t="s">
        <v>19</v>
      </c>
      <c r="J13">
        <v>0.4</v>
      </c>
      <c r="L13" s="11"/>
      <c r="M13" s="6">
        <v>3</v>
      </c>
      <c r="N13" s="6">
        <v>11</v>
      </c>
      <c r="O13" s="6">
        <v>58</v>
      </c>
      <c r="P13" s="15">
        <f t="shared" si="0"/>
        <v>50.928810557005541</v>
      </c>
      <c r="Q13" s="15">
        <f t="shared" si="1"/>
        <v>0.74966586403592328</v>
      </c>
      <c r="R13" s="15">
        <f t="shared" si="2"/>
        <v>50.411013196256917</v>
      </c>
      <c r="S13" s="15">
        <f t="shared" si="3"/>
        <v>57.592720707386654</v>
      </c>
    </row>
    <row r="14" spans="3:19" x14ac:dyDescent="0.3">
      <c r="L14" s="11"/>
      <c r="M14" s="6">
        <v>4</v>
      </c>
      <c r="N14" s="6">
        <v>12</v>
      </c>
      <c r="O14" s="6">
        <v>67</v>
      </c>
      <c r="P14" s="15">
        <f t="shared" si="0"/>
        <v>52.942781136833176</v>
      </c>
      <c r="Q14" s="15">
        <f t="shared" si="1"/>
        <v>1.2553877503526081</v>
      </c>
      <c r="R14" s="15">
        <f t="shared" si="2"/>
        <v>51.678476421041466</v>
      </c>
      <c r="S14" s="15">
        <f t="shared" si="3"/>
        <v>234.74908478058231</v>
      </c>
    </row>
    <row r="15" spans="3:19" x14ac:dyDescent="0.3">
      <c r="D15" t="s">
        <v>25</v>
      </c>
      <c r="G15" s="4">
        <f>AVERAGE(S4:S17)</f>
        <v>155.41030993864629</v>
      </c>
      <c r="L15" s="11">
        <v>2017</v>
      </c>
      <c r="M15" s="6">
        <v>1</v>
      </c>
      <c r="N15" s="6">
        <v>13</v>
      </c>
      <c r="O15" s="6">
        <v>79</v>
      </c>
      <c r="P15" s="15">
        <f t="shared" si="0"/>
        <v>56.758535109748628</v>
      </c>
      <c r="Q15" s="15">
        <f t="shared" si="1"/>
        <v>2.2795342393777456</v>
      </c>
      <c r="R15" s="15">
        <f t="shared" si="2"/>
        <v>54.198168887185787</v>
      </c>
      <c r="S15" s="15">
        <f t="shared" si="3"/>
        <v>615.13082654855907</v>
      </c>
    </row>
    <row r="16" spans="3:19" x14ac:dyDescent="0.3">
      <c r="D16" t="s">
        <v>26</v>
      </c>
      <c r="E16" s="4">
        <f>SQRT(G15)</f>
        <v>12.46636715080405</v>
      </c>
      <c r="L16" s="11"/>
      <c r="M16" s="6">
        <v>2</v>
      </c>
      <c r="N16" s="6">
        <v>14</v>
      </c>
      <c r="O16" s="6">
        <v>85</v>
      </c>
      <c r="P16" s="15">
        <f t="shared" si="0"/>
        <v>63.030455479301096</v>
      </c>
      <c r="Q16" s="15">
        <f t="shared" si="1"/>
        <v>3.8764886914476344</v>
      </c>
      <c r="R16" s="15">
        <f t="shared" si="2"/>
        <v>59.038069349126374</v>
      </c>
      <c r="S16" s="15">
        <f t="shared" si="3"/>
        <v>674.02184312077145</v>
      </c>
    </row>
    <row r="17" spans="12:19" x14ac:dyDescent="0.3">
      <c r="L17" s="11"/>
      <c r="M17" s="6">
        <v>3</v>
      </c>
      <c r="N17" s="6">
        <v>15</v>
      </c>
      <c r="O17" s="6">
        <v>88</v>
      </c>
      <c r="P17" s="15">
        <f t="shared" si="0"/>
        <v>70.525555336598984</v>
      </c>
      <c r="Q17" s="15">
        <f t="shared" si="1"/>
        <v>5.3239331577877351</v>
      </c>
      <c r="R17" s="15">
        <f t="shared" si="2"/>
        <v>66.90694417074873</v>
      </c>
      <c r="S17" s="15">
        <f t="shared" si="3"/>
        <v>444.91700421591099</v>
      </c>
    </row>
    <row r="18" spans="12:19" x14ac:dyDescent="0.3">
      <c r="M18" s="12">
        <v>4</v>
      </c>
      <c r="N18" s="12">
        <v>16</v>
      </c>
      <c r="R18" s="17">
        <f>$P$17+(N18-$N$17)*$Q$17</f>
        <v>75.849488494386719</v>
      </c>
    </row>
  </sheetData>
  <mergeCells count="4">
    <mergeCell ref="L3:L6"/>
    <mergeCell ref="L7:L10"/>
    <mergeCell ref="L11:L14"/>
    <mergeCell ref="L15:L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A947D-3C6D-46F9-A082-5C920E9B5675}">
  <dimension ref="C2:S15"/>
  <sheetViews>
    <sheetView tabSelected="1" workbookViewId="0">
      <selection activeCell="C13" sqref="C13"/>
    </sheetView>
  </sheetViews>
  <sheetFormatPr defaultRowHeight="14.4" x14ac:dyDescent="0.3"/>
  <sheetData>
    <row r="2" spans="3:19" x14ac:dyDescent="0.3">
      <c r="N2" s="7" t="s">
        <v>0</v>
      </c>
      <c r="O2" s="7" t="s">
        <v>1</v>
      </c>
      <c r="P2" s="13" t="s">
        <v>20</v>
      </c>
      <c r="Q2" s="13" t="s">
        <v>21</v>
      </c>
      <c r="R2" s="13" t="s">
        <v>8</v>
      </c>
      <c r="S2" s="16" t="s">
        <v>11</v>
      </c>
    </row>
    <row r="3" spans="3:19" x14ac:dyDescent="0.3">
      <c r="N3">
        <v>1</v>
      </c>
      <c r="O3">
        <v>37</v>
      </c>
      <c r="P3">
        <f>O3</f>
        <v>37</v>
      </c>
      <c r="Q3">
        <f>O4-O3</f>
        <v>4</v>
      </c>
      <c r="R3" s="5" t="s">
        <v>9</v>
      </c>
      <c r="S3" s="5" t="s">
        <v>9</v>
      </c>
    </row>
    <row r="4" spans="3:19" x14ac:dyDescent="0.3">
      <c r="N4">
        <v>2</v>
      </c>
      <c r="O4">
        <v>41</v>
      </c>
      <c r="P4" s="4">
        <f>$J$9*O3+(1-$J$9)*(P3+Q3)</f>
        <v>40.200000000000003</v>
      </c>
      <c r="Q4" s="4">
        <f>$J$10*(P4-P3)+(1-$J$10)*Q3</f>
        <v>3.680000000000001</v>
      </c>
      <c r="R4">
        <f>P3+Q3</f>
        <v>41</v>
      </c>
      <c r="S4">
        <f>(O4-R4)^2</f>
        <v>0</v>
      </c>
    </row>
    <row r="5" spans="3:19" x14ac:dyDescent="0.3">
      <c r="N5">
        <v>3</v>
      </c>
      <c r="O5">
        <v>40</v>
      </c>
      <c r="P5" s="4">
        <f t="shared" ref="P5:P14" si="0">$J$9*O4+(1-$J$9)*(P4+Q4)</f>
        <v>43.304000000000009</v>
      </c>
      <c r="Q5" s="4">
        <f t="shared" ref="Q5:Q14" si="1">$J$10*(P5-P4)+(1-$J$10)*Q4</f>
        <v>3.4496000000000033</v>
      </c>
      <c r="R5" s="4">
        <f t="shared" ref="R5:R14" si="2">P4+Q4</f>
        <v>43.88</v>
      </c>
      <c r="S5" s="4">
        <f t="shared" ref="S5:S14" si="3">(O5-R5)^2</f>
        <v>15.054400000000021</v>
      </c>
    </row>
    <row r="6" spans="3:19" x14ac:dyDescent="0.3">
      <c r="N6">
        <v>4</v>
      </c>
      <c r="O6">
        <v>45</v>
      </c>
      <c r="P6" s="4">
        <f t="shared" si="0"/>
        <v>45.40288000000001</v>
      </c>
      <c r="Q6" s="4">
        <f t="shared" si="1"/>
        <v>2.9093120000000026</v>
      </c>
      <c r="R6" s="4">
        <f t="shared" si="2"/>
        <v>46.753600000000013</v>
      </c>
      <c r="S6" s="4">
        <f t="shared" si="3"/>
        <v>3.0751129600000455</v>
      </c>
    </row>
    <row r="7" spans="3:19" x14ac:dyDescent="0.3">
      <c r="N7">
        <v>5</v>
      </c>
      <c r="O7">
        <v>48</v>
      </c>
      <c r="P7" s="4">
        <f t="shared" si="0"/>
        <v>47.649753600000011</v>
      </c>
      <c r="Q7" s="4">
        <f t="shared" si="1"/>
        <v>2.6443366400000019</v>
      </c>
      <c r="R7" s="4">
        <f t="shared" si="2"/>
        <v>48.31219200000001</v>
      </c>
      <c r="S7" s="4">
        <f t="shared" si="3"/>
        <v>9.7463844864006388E-2</v>
      </c>
    </row>
    <row r="8" spans="3:19" x14ac:dyDescent="0.3">
      <c r="N8">
        <v>6</v>
      </c>
      <c r="O8">
        <v>53</v>
      </c>
      <c r="P8" s="4">
        <f t="shared" si="0"/>
        <v>49.835272192000012</v>
      </c>
      <c r="Q8" s="4">
        <f t="shared" si="1"/>
        <v>2.4608094208000018</v>
      </c>
      <c r="R8" s="4">
        <f t="shared" si="2"/>
        <v>50.29409024000001</v>
      </c>
      <c r="S8" s="4">
        <f t="shared" si="3"/>
        <v>7.321947629263204</v>
      </c>
    </row>
    <row r="9" spans="3:19" x14ac:dyDescent="0.3">
      <c r="C9" t="s">
        <v>31</v>
      </c>
      <c r="I9" t="s">
        <v>7</v>
      </c>
      <c r="J9" s="4">
        <v>0.2</v>
      </c>
      <c r="N9">
        <v>7</v>
      </c>
      <c r="O9">
        <v>58</v>
      </c>
      <c r="P9" s="4">
        <f t="shared" si="0"/>
        <v>52.436865290240014</v>
      </c>
      <c r="Q9" s="4">
        <f t="shared" si="1"/>
        <v>2.517122891776002</v>
      </c>
      <c r="R9" s="4">
        <f t="shared" si="2"/>
        <v>52.296081612800016</v>
      </c>
      <c r="S9" s="4">
        <f t="shared" si="3"/>
        <v>32.534684967838068</v>
      </c>
    </row>
    <row r="10" spans="3:19" x14ac:dyDescent="0.3">
      <c r="C10" t="s">
        <v>32</v>
      </c>
      <c r="I10" t="s">
        <v>28</v>
      </c>
      <c r="J10" s="4">
        <v>0.4</v>
      </c>
      <c r="N10">
        <v>8</v>
      </c>
      <c r="O10">
        <v>67</v>
      </c>
      <c r="P10" s="4">
        <f t="shared" si="0"/>
        <v>55.563190545612819</v>
      </c>
      <c r="Q10" s="4">
        <f t="shared" si="1"/>
        <v>2.7608038372147234</v>
      </c>
      <c r="R10" s="4">
        <f t="shared" si="2"/>
        <v>54.953988182016019</v>
      </c>
      <c r="S10" s="4">
        <f t="shared" si="3"/>
        <v>145.10640071900974</v>
      </c>
    </row>
    <row r="11" spans="3:19" x14ac:dyDescent="0.3">
      <c r="C11" t="s">
        <v>33</v>
      </c>
      <c r="N11">
        <v>9</v>
      </c>
      <c r="O11">
        <v>79</v>
      </c>
      <c r="P11" s="4">
        <f t="shared" si="0"/>
        <v>60.059195506262036</v>
      </c>
      <c r="Q11" s="4">
        <f t="shared" si="1"/>
        <v>3.4548842865885208</v>
      </c>
      <c r="R11" s="4">
        <f t="shared" si="2"/>
        <v>58.323994382827543</v>
      </c>
      <c r="S11" s="4">
        <f t="shared" si="3"/>
        <v>427.49720828134701</v>
      </c>
    </row>
    <row r="12" spans="3:19" x14ac:dyDescent="0.3">
      <c r="C12" t="s">
        <v>34</v>
      </c>
      <c r="H12" t="s">
        <v>29</v>
      </c>
      <c r="I12" s="4">
        <f>AVERAGE(S4:S14)</f>
        <v>134.03768891161303</v>
      </c>
      <c r="N12">
        <v>10</v>
      </c>
      <c r="O12">
        <v>85</v>
      </c>
      <c r="P12" s="4">
        <f t="shared" si="0"/>
        <v>66.61126383428045</v>
      </c>
      <c r="Q12" s="4">
        <f t="shared" si="1"/>
        <v>4.6937579031604777</v>
      </c>
      <c r="R12" s="4">
        <f t="shared" si="2"/>
        <v>63.514079792850559</v>
      </c>
      <c r="S12" s="4">
        <f t="shared" si="3"/>
        <v>461.6447671479927</v>
      </c>
    </row>
    <row r="13" spans="3:19" x14ac:dyDescent="0.3">
      <c r="H13" t="s">
        <v>30</v>
      </c>
      <c r="I13" s="4">
        <f>SQRT(I12)</f>
        <v>11.577464701376249</v>
      </c>
      <c r="N13">
        <v>11</v>
      </c>
      <c r="O13">
        <v>88</v>
      </c>
      <c r="P13" s="4">
        <f t="shared" si="0"/>
        <v>74.044017389952742</v>
      </c>
      <c r="Q13" s="4">
        <f t="shared" si="1"/>
        <v>5.7893561641652038</v>
      </c>
      <c r="R13" s="4">
        <f t="shared" si="2"/>
        <v>71.305021737440924</v>
      </c>
      <c r="S13" s="4">
        <f t="shared" si="3"/>
        <v>278.72229918732006</v>
      </c>
    </row>
    <row r="14" spans="3:19" x14ac:dyDescent="0.3">
      <c r="N14">
        <v>12</v>
      </c>
      <c r="O14">
        <v>90</v>
      </c>
      <c r="P14" s="4">
        <f t="shared" si="0"/>
        <v>81.466698843294353</v>
      </c>
      <c r="Q14" s="4">
        <f t="shared" si="1"/>
        <v>6.4426862798357671</v>
      </c>
      <c r="R14" s="4">
        <f t="shared" si="2"/>
        <v>79.833373554117941</v>
      </c>
      <c r="S14" s="4">
        <f t="shared" si="3"/>
        <v>103.36029329010847</v>
      </c>
    </row>
    <row r="15" spans="3:19" x14ac:dyDescent="0.3">
      <c r="N15" s="18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zad1</vt:lpstr>
      <vt:lpstr>zad2</vt:lpstr>
      <vt:lpstr>zad3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prac608</dc:creator>
  <cp:lastModifiedBy>prac608</cp:lastModifiedBy>
  <dcterms:created xsi:type="dcterms:W3CDTF">2026-04-21T07:50:58Z</dcterms:created>
  <dcterms:modified xsi:type="dcterms:W3CDTF">2026-04-21T09:05:49Z</dcterms:modified>
</cp:coreProperties>
</file>