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ac608\Desktop\P_I_Sym_KW2\"/>
    </mc:Choice>
  </mc:AlternateContent>
  <xr:revisionPtr revIDLastSave="0" documentId="13_ncr:1_{EBB39753-B295-4A75-8717-446C41FD0D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IG20" sheetId="1" r:id="rId1"/>
    <sheet name="polecenia" sheetId="2" r:id="rId2"/>
    <sheet name="notatk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1" i="2" l="1"/>
  <c r="J80" i="2"/>
  <c r="J78" i="2"/>
</calcChain>
</file>

<file path=xl/sharedStrings.xml><?xml version="1.0" encoding="utf-8"?>
<sst xmlns="http://schemas.openxmlformats.org/spreadsheetml/2006/main" count="403" uniqueCount="394">
  <si>
    <t>Otwarcie</t>
  </si>
  <si>
    <t>Najwyzszy</t>
  </si>
  <si>
    <t>Najnizszy</t>
  </si>
  <si>
    <t>Zamkniecie</t>
  </si>
  <si>
    <t>Wolumen</t>
  </si>
  <si>
    <t>Sporządź wykres szeregu czasowego – oceń wzrokowo stacjonarność procesu</t>
  </si>
  <si>
    <t>Oceń stacjonarność procesu dla poziomu istotności 0,05</t>
  </si>
  <si>
    <t>Wyznacz wartości funkcji autokorelacji ACF i autokorelacji cząstkowej oraz PACF, sporządź wykresy korelogramów</t>
  </si>
  <si>
    <t>Dokonaj niezbędnych przekształceń szeregu do stacjonarności</t>
  </si>
  <si>
    <t>Oszacuj wartości parametrów strukturalnych dla modeli z parametrami (p;d;q)</t>
  </si>
  <si>
    <t>Sporządź wykresy: szeregu pierwotnego i wygładzonego wybranym modelem; reszt wybranego modelu; wyznaczonych prognoz punktowych i przedziałowych</t>
  </si>
  <si>
    <r>
      <rPr>
        <sz val="7"/>
        <color theme="1"/>
        <rFont val="Times New Roman"/>
        <family val="1"/>
        <charset val="238"/>
      </rPr>
      <t xml:space="preserve"> </t>
    </r>
    <r>
      <rPr>
        <sz val="11"/>
        <color theme="1"/>
        <rFont val="Calibri"/>
        <family val="2"/>
        <charset val="238"/>
        <scheme val="minor"/>
      </rPr>
      <t>Kierując się wartościami kryteriów informacyjnych Akaike'a, Schwarza, Hannana-Quinna wybierz model do procesu prognozowania</t>
    </r>
  </si>
  <si>
    <r>
      <rPr>
        <sz val="7"/>
        <color theme="1"/>
        <rFont val="Times New Roman"/>
        <family val="1"/>
        <charset val="238"/>
      </rPr>
      <t xml:space="preserve"> </t>
    </r>
    <r>
      <rPr>
        <sz val="11"/>
        <color theme="1"/>
        <rFont val="Calibri"/>
        <family val="2"/>
        <charset val="238"/>
        <scheme val="minor"/>
      </rPr>
      <t>Oceń normalność rozkładu oraz autokorelację reszt dla wybranego modelu</t>
    </r>
  </si>
  <si>
    <t>Przy wykorzystaniu wybranego modelu wyznacz prognozy wygasłe dla ostatnich 50 obserwacji, oceń wielkość błędów prognoz ex post</t>
  </si>
  <si>
    <t>Przy wykorzystaniu wybranego modelu wyznacz prognozy punktowe i przedziałowe przy wiarygodności 95% na kolejnych 5 okresów, oceń wielkość błędów ex ante</t>
  </si>
  <si>
    <t>02,01,2025</t>
  </si>
  <si>
    <t>03,01,2025</t>
  </si>
  <si>
    <t>07,01,2025</t>
  </si>
  <si>
    <t>08,01,2025</t>
  </si>
  <si>
    <t>09,01,2025</t>
  </si>
  <si>
    <t>10,01,2025</t>
  </si>
  <si>
    <t>13,01,2025</t>
  </si>
  <si>
    <t>14,01,2025</t>
  </si>
  <si>
    <t>15,01,2025</t>
  </si>
  <si>
    <t>16,01,2025</t>
  </si>
  <si>
    <t>17,01,2025</t>
  </si>
  <si>
    <t>20,01,2025</t>
  </si>
  <si>
    <t>21,01,2025</t>
  </si>
  <si>
    <t>22,01,2025</t>
  </si>
  <si>
    <t>23,01,2025</t>
  </si>
  <si>
    <t>24,01,2025</t>
  </si>
  <si>
    <t>27,01,2025</t>
  </si>
  <si>
    <t>28,01,2025</t>
  </si>
  <si>
    <t>29,01,2025</t>
  </si>
  <si>
    <t>30,01,2025</t>
  </si>
  <si>
    <t>31,01,2025</t>
  </si>
  <si>
    <t>03,02,2025</t>
  </si>
  <si>
    <t>04,02,2025</t>
  </si>
  <si>
    <t>05,02,2025</t>
  </si>
  <si>
    <t>06,02,2025</t>
  </si>
  <si>
    <t>07,02,2025</t>
  </si>
  <si>
    <t>10,02,2025</t>
  </si>
  <si>
    <t>11,02,2025</t>
  </si>
  <si>
    <t>12,02,2025</t>
  </si>
  <si>
    <t>13,02,2025</t>
  </si>
  <si>
    <t>14,02,2025</t>
  </si>
  <si>
    <t>17,02,2025</t>
  </si>
  <si>
    <t>18,02,2025</t>
  </si>
  <si>
    <t>19,02,2025</t>
  </si>
  <si>
    <t>20,02,2025</t>
  </si>
  <si>
    <t>21,02,2025</t>
  </si>
  <si>
    <t>24,02,2025</t>
  </si>
  <si>
    <t>25,02,2025</t>
  </si>
  <si>
    <t>26,02,2025</t>
  </si>
  <si>
    <t>27,02,2025</t>
  </si>
  <si>
    <t>28,02,2025</t>
  </si>
  <si>
    <t>03,03,2025</t>
  </si>
  <si>
    <t>04,03,2025</t>
  </si>
  <si>
    <t>05,03,2025</t>
  </si>
  <si>
    <t>06,03,2025</t>
  </si>
  <si>
    <t>07,03,2025</t>
  </si>
  <si>
    <t>10,03,2025</t>
  </si>
  <si>
    <t>11,03,2025</t>
  </si>
  <si>
    <t>12,03,2025</t>
  </si>
  <si>
    <t>13,03,2025</t>
  </si>
  <si>
    <t>14,03,2025</t>
  </si>
  <si>
    <t>17,03,2025</t>
  </si>
  <si>
    <t>18,03,2025</t>
  </si>
  <si>
    <t>19,03,2025</t>
  </si>
  <si>
    <t>20,03,2025</t>
  </si>
  <si>
    <t>21,03,2025</t>
  </si>
  <si>
    <t>24,03,2025</t>
  </si>
  <si>
    <t>25,03,2025</t>
  </si>
  <si>
    <t>26,03,2025</t>
  </si>
  <si>
    <t>27,03,2025</t>
  </si>
  <si>
    <t>28,03,2025</t>
  </si>
  <si>
    <t>31,03,2025</t>
  </si>
  <si>
    <t>01,04,2025</t>
  </si>
  <si>
    <t>02,04,2025</t>
  </si>
  <si>
    <t>03,04,2025</t>
  </si>
  <si>
    <t>04,04,2025</t>
  </si>
  <si>
    <t>07,04,2025</t>
  </si>
  <si>
    <t>08,04,2025</t>
  </si>
  <si>
    <t>09,04,2025</t>
  </si>
  <si>
    <t>10,04,2025</t>
  </si>
  <si>
    <t>11,04,2025</t>
  </si>
  <si>
    <t>14,04,2025</t>
  </si>
  <si>
    <t>15,04,2025</t>
  </si>
  <si>
    <t>16,04,2025</t>
  </si>
  <si>
    <t>17,04,2025</t>
  </si>
  <si>
    <t>22,04,2025</t>
  </si>
  <si>
    <t>23,04,2025</t>
  </si>
  <si>
    <t>24,04,2025</t>
  </si>
  <si>
    <t>25,04,2025</t>
  </si>
  <si>
    <t>28,04,2025</t>
  </si>
  <si>
    <t>29,04,2025</t>
  </si>
  <si>
    <t>30,04,2025</t>
  </si>
  <si>
    <t>02,05,2025</t>
  </si>
  <si>
    <t>05,05,2025</t>
  </si>
  <si>
    <t>06,05,2025</t>
  </si>
  <si>
    <t>07,05,2025</t>
  </si>
  <si>
    <t>08,05,2025</t>
  </si>
  <si>
    <t>09,05,2025</t>
  </si>
  <si>
    <t>12,05,2025</t>
  </si>
  <si>
    <t>13,05,2025</t>
  </si>
  <si>
    <t>14,05,2025</t>
  </si>
  <si>
    <t>15,05,2025</t>
  </si>
  <si>
    <t>16,05,2025</t>
  </si>
  <si>
    <t>19,05,2025</t>
  </si>
  <si>
    <t>20,05,2025</t>
  </si>
  <si>
    <t>21,05,2025</t>
  </si>
  <si>
    <t>22,05,2025</t>
  </si>
  <si>
    <t>23,05,2025</t>
  </si>
  <si>
    <t>26,05,2025</t>
  </si>
  <si>
    <t>27,05,2025</t>
  </si>
  <si>
    <t>28,05,2025</t>
  </si>
  <si>
    <t>29,05,2025</t>
  </si>
  <si>
    <t>30,05,2025</t>
  </si>
  <si>
    <t>02,06,2025</t>
  </si>
  <si>
    <t>03,06,2025</t>
  </si>
  <si>
    <t>04,06,2025</t>
  </si>
  <si>
    <t>05,06,2025</t>
  </si>
  <si>
    <t>06,06,2025</t>
  </si>
  <si>
    <t>09,06,2025</t>
  </si>
  <si>
    <t>10,06,2025</t>
  </si>
  <si>
    <t>11,06,2025</t>
  </si>
  <si>
    <t>12,06,2025</t>
  </si>
  <si>
    <t>13,06,2025</t>
  </si>
  <si>
    <t>16,06,2025</t>
  </si>
  <si>
    <t>17,06,2025</t>
  </si>
  <si>
    <t>18,06,2025</t>
  </si>
  <si>
    <t>20,06,2025</t>
  </si>
  <si>
    <t>23,06,2025</t>
  </si>
  <si>
    <t>24,06,2025</t>
  </si>
  <si>
    <t>25,06,2025</t>
  </si>
  <si>
    <t>26,06,2025</t>
  </si>
  <si>
    <t>27,06,2025</t>
  </si>
  <si>
    <t>30,06,2025</t>
  </si>
  <si>
    <t>01,07,2025</t>
  </si>
  <si>
    <t>02,07,2025</t>
  </si>
  <si>
    <t>03,07,2025</t>
  </si>
  <si>
    <t>04,07,2025</t>
  </si>
  <si>
    <t>07,07,2025</t>
  </si>
  <si>
    <t>08,07,2025</t>
  </si>
  <si>
    <t>09,07,2025</t>
  </si>
  <si>
    <t>10,07,2025</t>
  </si>
  <si>
    <t>11,07,2025</t>
  </si>
  <si>
    <t>14,07,2025</t>
  </si>
  <si>
    <t>15,07,2025</t>
  </si>
  <si>
    <t>16,07,2025</t>
  </si>
  <si>
    <t>17,07,2025</t>
  </si>
  <si>
    <t>18,07,2025</t>
  </si>
  <si>
    <t>21,07,2025</t>
  </si>
  <si>
    <t>22,07,2025</t>
  </si>
  <si>
    <t>23,07,2025</t>
  </si>
  <si>
    <t>24,07,2025</t>
  </si>
  <si>
    <t>25,07,2025</t>
  </si>
  <si>
    <t>28,07,2025</t>
  </si>
  <si>
    <t>29,07,2025</t>
  </si>
  <si>
    <t>30,07,2025</t>
  </si>
  <si>
    <t>31,07,2025</t>
  </si>
  <si>
    <t>01,08,2025</t>
  </si>
  <si>
    <t>04,08,2025</t>
  </si>
  <si>
    <t>05,08,2025</t>
  </si>
  <si>
    <t>06,08,2025</t>
  </si>
  <si>
    <t>07,08,2025</t>
  </si>
  <si>
    <t>08,08,2025</t>
  </si>
  <si>
    <t>11,08,2025</t>
  </si>
  <si>
    <t>12,08,2025</t>
  </si>
  <si>
    <t>13,08,2025</t>
  </si>
  <si>
    <t>14,08,2025</t>
  </si>
  <si>
    <t>18,08,2025</t>
  </si>
  <si>
    <t>19,08,2025</t>
  </si>
  <si>
    <t>20,08,2025</t>
  </si>
  <si>
    <t>21,08,2025</t>
  </si>
  <si>
    <t>22,08,2025</t>
  </si>
  <si>
    <t>25,08,2025</t>
  </si>
  <si>
    <t>26,08,2025</t>
  </si>
  <si>
    <t>27,08,2025</t>
  </si>
  <si>
    <t>28,08,2025</t>
  </si>
  <si>
    <t>29,08,2025</t>
  </si>
  <si>
    <t>01,09,2025</t>
  </si>
  <si>
    <t>02,09,2025</t>
  </si>
  <si>
    <t>03,09,2025</t>
  </si>
  <si>
    <t>04,09,2025</t>
  </si>
  <si>
    <t>05,09,2025</t>
  </si>
  <si>
    <t>08,09,2025</t>
  </si>
  <si>
    <t>09,09,2025</t>
  </si>
  <si>
    <t>10,09,2025</t>
  </si>
  <si>
    <t>11,09,2025</t>
  </si>
  <si>
    <t>12,09,2025</t>
  </si>
  <si>
    <t>15,09,2025</t>
  </si>
  <si>
    <t>16,09,2025</t>
  </si>
  <si>
    <t>17,09,2025</t>
  </si>
  <si>
    <t>18,09,2025</t>
  </si>
  <si>
    <t>19,09,2025</t>
  </si>
  <si>
    <t>22,09,2025</t>
  </si>
  <si>
    <t>23,09,2025</t>
  </si>
  <si>
    <t>24,09,2025</t>
  </si>
  <si>
    <t>25,09,2025</t>
  </si>
  <si>
    <t>26,09,2025</t>
  </si>
  <si>
    <t>29,09,2025</t>
  </si>
  <si>
    <t>30,09,2025</t>
  </si>
  <si>
    <t>01,10,2025</t>
  </si>
  <si>
    <t>02,10,2025</t>
  </si>
  <si>
    <t>03,10,2025</t>
  </si>
  <si>
    <t>06,10,2025</t>
  </si>
  <si>
    <t>07,10,2025</t>
  </si>
  <si>
    <t>08,10,2025</t>
  </si>
  <si>
    <t>09,10,2025</t>
  </si>
  <si>
    <t>10,10,2025</t>
  </si>
  <si>
    <t>13,10,2025</t>
  </si>
  <si>
    <t>14,10,2025</t>
  </si>
  <si>
    <t>15,10,2025</t>
  </si>
  <si>
    <t>16,10,2025</t>
  </si>
  <si>
    <t>17,10,2025</t>
  </si>
  <si>
    <t>20,10,2025</t>
  </si>
  <si>
    <t>21,10,2025</t>
  </si>
  <si>
    <t>22,10,2025</t>
  </si>
  <si>
    <t>23,10,2025</t>
  </si>
  <si>
    <t>24,10,2025</t>
  </si>
  <si>
    <t>27,10,2025</t>
  </si>
  <si>
    <t>28,10,2025</t>
  </si>
  <si>
    <t>29,10,2025</t>
  </si>
  <si>
    <t>30,10,2025</t>
  </si>
  <si>
    <t>31,10,2025</t>
  </si>
  <si>
    <t>03,11,2025</t>
  </si>
  <si>
    <t>04,11,2025</t>
  </si>
  <si>
    <t>05,11,2025</t>
  </si>
  <si>
    <t>06,11,2025</t>
  </si>
  <si>
    <t>07,11,2025</t>
  </si>
  <si>
    <t>10,11,2025</t>
  </si>
  <si>
    <t>12,11,2025</t>
  </si>
  <si>
    <t>13,11,2025</t>
  </si>
  <si>
    <t>14,11,2025</t>
  </si>
  <si>
    <t>17,11,2025</t>
  </si>
  <si>
    <t>18,11,2025</t>
  </si>
  <si>
    <t>19,11,2025</t>
  </si>
  <si>
    <t>20,11,2025</t>
  </si>
  <si>
    <t>21,11,2025</t>
  </si>
  <si>
    <t>24,11,2025</t>
  </si>
  <si>
    <t>25,11,2025</t>
  </si>
  <si>
    <t>26,11,2025</t>
  </si>
  <si>
    <t>27,11,2025</t>
  </si>
  <si>
    <t>28,11,2025</t>
  </si>
  <si>
    <t>01,12,2025</t>
  </si>
  <si>
    <t>02,12,2025</t>
  </si>
  <si>
    <t>03,12,2025</t>
  </si>
  <si>
    <t>04,12,2025</t>
  </si>
  <si>
    <t>05,12,2025</t>
  </si>
  <si>
    <t>08,12,2025</t>
  </si>
  <si>
    <t>09,12,2025</t>
  </si>
  <si>
    <t>10,12,2025</t>
  </si>
  <si>
    <t>11,12,2025</t>
  </si>
  <si>
    <t>12,12,2025</t>
  </si>
  <si>
    <t>15,12,2025</t>
  </si>
  <si>
    <t>16,12,2025</t>
  </si>
  <si>
    <t>17,12,2025</t>
  </si>
  <si>
    <t>18,12,2025</t>
  </si>
  <si>
    <t>19,12,2025</t>
  </si>
  <si>
    <t>22,12,2025</t>
  </si>
  <si>
    <t>23,12,2025</t>
  </si>
  <si>
    <t>29,12,2025</t>
  </si>
  <si>
    <t>30,12,2025</t>
  </si>
  <si>
    <t>02,01,2026</t>
  </si>
  <si>
    <t>05,01,2026</t>
  </si>
  <si>
    <t>07,01,2026</t>
  </si>
  <si>
    <t>08,01,2026</t>
  </si>
  <si>
    <t>09,01,2026</t>
  </si>
  <si>
    <t>12,01,2026</t>
  </si>
  <si>
    <t>13,01,2026</t>
  </si>
  <si>
    <t>14,01,2026</t>
  </si>
  <si>
    <t>15,01,2026</t>
  </si>
  <si>
    <t>16,01,2026</t>
  </si>
  <si>
    <t>19,01,2026</t>
  </si>
  <si>
    <t>20,01,2026</t>
  </si>
  <si>
    <t>21,01,2026</t>
  </si>
  <si>
    <t>22,01,2026</t>
  </si>
  <si>
    <t>23,01,2026</t>
  </si>
  <si>
    <t>26,01,2026</t>
  </si>
  <si>
    <t>27,01,2026</t>
  </si>
  <si>
    <t>28,01,2026</t>
  </si>
  <si>
    <t>29,01,2026</t>
  </si>
  <si>
    <t>30,01,2026</t>
  </si>
  <si>
    <t>02,02,2026</t>
  </si>
  <si>
    <t>03,02,2026</t>
  </si>
  <si>
    <t>04,02,2026</t>
  </si>
  <si>
    <t>05,02,2026</t>
  </si>
  <si>
    <t>06,02,2026</t>
  </si>
  <si>
    <t>09,02,2026</t>
  </si>
  <si>
    <t>10,02,2026</t>
  </si>
  <si>
    <t>11,02,2026</t>
  </si>
  <si>
    <t>12,02,2026</t>
  </si>
  <si>
    <t>13,02,2026</t>
  </si>
  <si>
    <t>16,02,2026</t>
  </si>
  <si>
    <t>17,02,2026</t>
  </si>
  <si>
    <t>18,02,2026</t>
  </si>
  <si>
    <t>19,02,2026</t>
  </si>
  <si>
    <t>20,02,2026</t>
  </si>
  <si>
    <t>23,02,2026</t>
  </si>
  <si>
    <t>24,02,2026</t>
  </si>
  <si>
    <t>25,02,2026</t>
  </si>
  <si>
    <t>26,02,2026</t>
  </si>
  <si>
    <t>27,02,2026</t>
  </si>
  <si>
    <t>02,03,2026</t>
  </si>
  <si>
    <t>03,03,2026</t>
  </si>
  <si>
    <t>04,03,2026</t>
  </si>
  <si>
    <t>05,03,2026</t>
  </si>
  <si>
    <t>06,03,2026</t>
  </si>
  <si>
    <t>09,03,2026</t>
  </si>
  <si>
    <t>10,03,2026</t>
  </si>
  <si>
    <t>11,03,2026</t>
  </si>
  <si>
    <t>12,03,2026</t>
  </si>
  <si>
    <t>13,03,2026</t>
  </si>
  <si>
    <t>16,03,2026</t>
  </si>
  <si>
    <t>17,03,2026</t>
  </si>
  <si>
    <t>18,03,2026</t>
  </si>
  <si>
    <t>19,03,2026</t>
  </si>
  <si>
    <t>20,03,2026</t>
  </si>
  <si>
    <t>23,03,2026</t>
  </si>
  <si>
    <t>24,03,2026</t>
  </si>
  <si>
    <t>25,03,2026</t>
  </si>
  <si>
    <t>26,03,2026</t>
  </si>
  <si>
    <t>27,03,2026</t>
  </si>
  <si>
    <t>30,03,2026</t>
  </si>
  <si>
    <t>31,03,2026</t>
  </si>
  <si>
    <t>01,04,2026</t>
  </si>
  <si>
    <t>02,04,2026</t>
  </si>
  <si>
    <t>07,04,2026</t>
  </si>
  <si>
    <t>08,04,2026</t>
  </si>
  <si>
    <t>09,04,2026</t>
  </si>
  <si>
    <t>10,04,2026</t>
  </si>
  <si>
    <t>13,04,2026</t>
  </si>
  <si>
    <t>14,04,2026</t>
  </si>
  <si>
    <t>15,04,2026</t>
  </si>
  <si>
    <t>16,04,2026</t>
  </si>
  <si>
    <t>17,04,2026</t>
  </si>
  <si>
    <t>20,04,2026</t>
  </si>
  <si>
    <t>21,04,2026</t>
  </si>
  <si>
    <t>22,04,2026</t>
  </si>
  <si>
    <t>23,04,2026</t>
  </si>
  <si>
    <t>24,04,2026</t>
  </si>
  <si>
    <t>27,04,2026</t>
  </si>
  <si>
    <t>28,04,2026</t>
  </si>
  <si>
    <t>29,04,2026</t>
  </si>
  <si>
    <t>30,04,2026</t>
  </si>
  <si>
    <t>04,05,2026</t>
  </si>
  <si>
    <t>05,05,2026</t>
  </si>
  <si>
    <t>06,05,2026</t>
  </si>
  <si>
    <t>07,05,2026</t>
  </si>
  <si>
    <t>08,05,2026</t>
  </si>
  <si>
    <t>11,05,2026</t>
  </si>
  <si>
    <t>1.</t>
  </si>
  <si>
    <t>2.</t>
  </si>
  <si>
    <t>proces stacjnonarny?</t>
  </si>
  <si>
    <t>3.</t>
  </si>
  <si>
    <t>4.</t>
  </si>
  <si>
    <t>5.</t>
  </si>
  <si>
    <t>6.</t>
  </si>
  <si>
    <t>7.</t>
  </si>
  <si>
    <t>8.</t>
  </si>
  <si>
    <t>9.</t>
  </si>
  <si>
    <t>10.</t>
  </si>
  <si>
    <t xml:space="preserve">nie stacjnonarny na </t>
  </si>
  <si>
    <t>oko</t>
  </si>
  <si>
    <t>stacjnoanry to stało</t>
  </si>
  <si>
    <t>ść odchyleń od średniej</t>
  </si>
  <si>
    <t>dla trendu i wyrazu wolnego nie stacjnarny</t>
  </si>
  <si>
    <t>z kpss odrzucamy ho</t>
  </si>
  <si>
    <t>dlatego dodajemy 1 różnice</t>
  </si>
  <si>
    <t>i z tego mamy że h0 odrzucamy</t>
  </si>
  <si>
    <t>i d=1</t>
  </si>
  <si>
    <t>proces nie stacjo</t>
  </si>
  <si>
    <t>nie stacjo</t>
  </si>
  <si>
    <t xml:space="preserve">ten stacjo </t>
  </si>
  <si>
    <t>i 4.</t>
  </si>
  <si>
    <t>2 model</t>
  </si>
  <si>
    <t>na podstawie wybranych p i q z ad.5</t>
  </si>
  <si>
    <t>wybieramy 1-1-5 zapisujemy reszty</t>
  </si>
  <si>
    <t>nie istotna koleracja czyli ok</t>
  </si>
  <si>
    <t>reszty nie mają rozkładu normlanego</t>
  </si>
  <si>
    <t>czyli źle do prognozowania</t>
  </si>
  <si>
    <t>bo większe błedy w prognozach</t>
  </si>
  <si>
    <t>prognozy ex post dopuszczlne bo rmse/śrdnia około 5%</t>
  </si>
  <si>
    <t>026-04-24                   3532,06       78,832      3377,55 -  3686,57</t>
  </si>
  <si>
    <t>y*</t>
  </si>
  <si>
    <t>błąd dt</t>
  </si>
  <si>
    <t>vt=</t>
  </si>
  <si>
    <t>bład dt</t>
  </si>
  <si>
    <t>gr dol</t>
  </si>
  <si>
    <t>gr gór</t>
  </si>
  <si>
    <t>v'=</t>
  </si>
  <si>
    <t>dokóńcz</t>
  </si>
  <si>
    <t>lekko się zgubić na koniec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</si>
</sst>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7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</xdr:colOff>
      <xdr:row>14</xdr:row>
      <xdr:rowOff>45720</xdr:rowOff>
    </xdr:from>
    <xdr:to>
      <xdr:col>8</xdr:col>
      <xdr:colOff>547966</xdr:colOff>
      <xdr:row>30</xdr:row>
      <xdr:rowOff>40698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A6E394FF-C24A-472D-AFB5-C0D5DB2E5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740" y="2606040"/>
          <a:ext cx="4076026" cy="2921058"/>
        </a:xfrm>
        <a:prstGeom prst="rect">
          <a:avLst/>
        </a:prstGeom>
      </xdr:spPr>
    </xdr:pic>
    <xdr:clientData/>
  </xdr:twoCellAnchor>
  <xdr:twoCellAnchor editAs="oneCell">
    <xdr:from>
      <xdr:col>9</xdr:col>
      <xdr:colOff>320040</xdr:colOff>
      <xdr:row>12</xdr:row>
      <xdr:rowOff>99061</xdr:rowOff>
    </xdr:from>
    <xdr:to>
      <xdr:col>14</xdr:col>
      <xdr:colOff>541020</xdr:colOff>
      <xdr:row>29</xdr:row>
      <xdr:rowOff>91441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2D17DF16-1A9E-4CAC-AE7C-9374C3E5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6440" y="2293621"/>
          <a:ext cx="3268980" cy="310134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32</xdr:row>
      <xdr:rowOff>1</xdr:rowOff>
    </xdr:from>
    <xdr:to>
      <xdr:col>7</xdr:col>
      <xdr:colOff>121920</xdr:colOff>
      <xdr:row>44</xdr:row>
      <xdr:rowOff>83502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D0EE3D31-AC3F-4D23-A265-94400F30D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1" y="5852161"/>
          <a:ext cx="3169919" cy="2278061"/>
        </a:xfrm>
        <a:prstGeom prst="rect">
          <a:avLst/>
        </a:prstGeom>
      </xdr:spPr>
    </xdr:pic>
    <xdr:clientData/>
  </xdr:twoCellAnchor>
  <xdr:twoCellAnchor editAs="oneCell">
    <xdr:from>
      <xdr:col>7</xdr:col>
      <xdr:colOff>274320</xdr:colOff>
      <xdr:row>30</xdr:row>
      <xdr:rowOff>144780</xdr:rowOff>
    </xdr:from>
    <xdr:to>
      <xdr:col>11</xdr:col>
      <xdr:colOff>34657</xdr:colOff>
      <xdr:row>45</xdr:row>
      <xdr:rowOff>180083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FF75E075-9CE3-440B-B4B3-ACF7C96AD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41520" y="5631180"/>
          <a:ext cx="2198737" cy="2778503"/>
        </a:xfrm>
        <a:prstGeom prst="rect">
          <a:avLst/>
        </a:prstGeom>
      </xdr:spPr>
    </xdr:pic>
    <xdr:clientData/>
  </xdr:twoCellAnchor>
  <xdr:twoCellAnchor editAs="oneCell">
    <xdr:from>
      <xdr:col>15</xdr:col>
      <xdr:colOff>60960</xdr:colOff>
      <xdr:row>15</xdr:row>
      <xdr:rowOff>175260</xdr:rowOff>
    </xdr:from>
    <xdr:to>
      <xdr:col>18</xdr:col>
      <xdr:colOff>565128</xdr:colOff>
      <xdr:row>28</xdr:row>
      <xdr:rowOff>70965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C3280B7-1983-47D2-8F1E-4E378C212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04960" y="2918460"/>
          <a:ext cx="2332968" cy="2273145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571501</xdr:colOff>
      <xdr:row>20</xdr:row>
      <xdr:rowOff>129540</xdr:rowOff>
    </xdr:from>
    <xdr:to>
      <xdr:col>23</xdr:col>
      <xdr:colOff>523137</xdr:colOff>
      <xdr:row>29</xdr:row>
      <xdr:rowOff>99523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7699FFD0-BE15-430B-8C2B-3B489536A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4301" y="3787140"/>
          <a:ext cx="2999636" cy="1615903"/>
        </a:xfrm>
        <a:prstGeom prst="rect">
          <a:avLst/>
        </a:prstGeom>
      </xdr:spPr>
    </xdr:pic>
    <xdr:clientData/>
  </xdr:twoCellAnchor>
  <xdr:twoCellAnchor editAs="oneCell">
    <xdr:from>
      <xdr:col>13</xdr:col>
      <xdr:colOff>350939</xdr:colOff>
      <xdr:row>31</xdr:row>
      <xdr:rowOff>129540</xdr:rowOff>
    </xdr:from>
    <xdr:to>
      <xdr:col>17</xdr:col>
      <xdr:colOff>38100</xdr:colOff>
      <xdr:row>46</xdr:row>
      <xdr:rowOff>60258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7F7055D5-CA0A-4E51-9598-E122F785C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75739" y="5798820"/>
          <a:ext cx="2125561" cy="2673918"/>
        </a:xfrm>
        <a:prstGeom prst="rect">
          <a:avLst/>
        </a:prstGeom>
      </xdr:spPr>
    </xdr:pic>
    <xdr:clientData/>
  </xdr:twoCellAnchor>
  <xdr:twoCellAnchor editAs="oneCell">
    <xdr:from>
      <xdr:col>0</xdr:col>
      <xdr:colOff>472441</xdr:colOff>
      <xdr:row>49</xdr:row>
      <xdr:rowOff>99061</xdr:rowOff>
    </xdr:from>
    <xdr:to>
      <xdr:col>6</xdr:col>
      <xdr:colOff>108855</xdr:colOff>
      <xdr:row>70</xdr:row>
      <xdr:rowOff>152400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C9A509C4-489B-4337-84D0-45CA30260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2441" y="9060181"/>
          <a:ext cx="3294014" cy="3893819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52</xdr:row>
      <xdr:rowOff>144780</xdr:rowOff>
    </xdr:from>
    <xdr:to>
      <xdr:col>11</xdr:col>
      <xdr:colOff>253905</xdr:colOff>
      <xdr:row>63</xdr:row>
      <xdr:rowOff>86295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03893592-3B4D-4E86-B4E5-B20A3EA6B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09060" y="9654540"/>
          <a:ext cx="3050445" cy="1953195"/>
        </a:xfrm>
        <a:prstGeom prst="rect">
          <a:avLst/>
        </a:prstGeom>
      </xdr:spPr>
    </xdr:pic>
    <xdr:clientData/>
  </xdr:twoCellAnchor>
  <xdr:twoCellAnchor editAs="oneCell">
    <xdr:from>
      <xdr:col>12</xdr:col>
      <xdr:colOff>480060</xdr:colOff>
      <xdr:row>51</xdr:row>
      <xdr:rowOff>129540</xdr:rowOff>
    </xdr:from>
    <xdr:to>
      <xdr:col>16</xdr:col>
      <xdr:colOff>106285</xdr:colOff>
      <xdr:row>65</xdr:row>
      <xdr:rowOff>157170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CC86B789-B00C-4D8A-891D-0365F89C4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95260" y="9456420"/>
          <a:ext cx="2064625" cy="2587950"/>
        </a:xfrm>
        <a:prstGeom prst="rect">
          <a:avLst/>
        </a:prstGeom>
      </xdr:spPr>
    </xdr:pic>
    <xdr:clientData/>
  </xdr:twoCellAnchor>
  <xdr:twoCellAnchor editAs="oneCell">
    <xdr:from>
      <xdr:col>15</xdr:col>
      <xdr:colOff>586740</xdr:colOff>
      <xdr:row>53</xdr:row>
      <xdr:rowOff>144779</xdr:rowOff>
    </xdr:from>
    <xdr:to>
      <xdr:col>20</xdr:col>
      <xdr:colOff>228600</xdr:colOff>
      <xdr:row>70</xdr:row>
      <xdr:rowOff>117120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F4481486-AC3C-4992-BEDC-1477D0782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730740" y="9837419"/>
          <a:ext cx="2689860" cy="3081301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594360</xdr:colOff>
      <xdr:row>74</xdr:row>
      <xdr:rowOff>22860</xdr:rowOff>
    </xdr:from>
    <xdr:to>
      <xdr:col>6</xdr:col>
      <xdr:colOff>38665</xdr:colOff>
      <xdr:row>85</xdr:row>
      <xdr:rowOff>175914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5161E438-B18C-4FA1-B2B1-81C81C28E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4360" y="13555980"/>
          <a:ext cx="3101905" cy="2164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8"/>
  <sheetViews>
    <sheetView workbookViewId="0">
      <selection activeCell="D1" sqref="D1"/>
    </sheetView>
  </sheetViews>
  <sheetFormatPr defaultRowHeight="14.4" x14ac:dyDescent="0.3"/>
  <cols>
    <col min="1" max="1" width="10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15</v>
      </c>
      <c r="B2">
        <v>2207.38</v>
      </c>
      <c r="C2">
        <v>2230.38</v>
      </c>
      <c r="D2">
        <v>2199.58</v>
      </c>
      <c r="E2">
        <v>2227.13</v>
      </c>
    </row>
    <row r="3" spans="1:5" x14ac:dyDescent="0.3">
      <c r="A3" s="1" t="s">
        <v>16</v>
      </c>
      <c r="B3">
        <v>2229.21</v>
      </c>
      <c r="C3">
        <v>2250.3000000000002</v>
      </c>
      <c r="D3">
        <v>2222.1799999999998</v>
      </c>
      <c r="E3">
        <v>2237.5700000000002</v>
      </c>
    </row>
    <row r="4" spans="1:5" x14ac:dyDescent="0.3">
      <c r="A4" s="1" t="s">
        <v>17</v>
      </c>
      <c r="B4">
        <v>2259.84</v>
      </c>
      <c r="C4">
        <v>2278.5100000000002</v>
      </c>
      <c r="D4">
        <v>2251.48</v>
      </c>
      <c r="E4">
        <v>2257.67</v>
      </c>
    </row>
    <row r="5" spans="1:5" x14ac:dyDescent="0.3">
      <c r="A5" s="1" t="s">
        <v>18</v>
      </c>
      <c r="B5">
        <v>2250.6</v>
      </c>
      <c r="C5">
        <v>2257.84</v>
      </c>
      <c r="D5">
        <v>2216.58</v>
      </c>
      <c r="E5">
        <v>2229.48</v>
      </c>
    </row>
    <row r="6" spans="1:5" x14ac:dyDescent="0.3">
      <c r="A6" s="1" t="s">
        <v>19</v>
      </c>
      <c r="B6">
        <v>2232.9899999999998</v>
      </c>
      <c r="C6">
        <v>2247.94</v>
      </c>
      <c r="D6">
        <v>2220</v>
      </c>
      <c r="E6">
        <v>2247.94</v>
      </c>
    </row>
    <row r="7" spans="1:5" x14ac:dyDescent="0.3">
      <c r="A7" s="1" t="s">
        <v>20</v>
      </c>
      <c r="B7">
        <v>2247.64</v>
      </c>
      <c r="C7">
        <v>2266.35</v>
      </c>
      <c r="D7">
        <v>2240.98</v>
      </c>
      <c r="E7">
        <v>2257.16</v>
      </c>
    </row>
    <row r="8" spans="1:5" x14ac:dyDescent="0.3">
      <c r="A8" s="1" t="s">
        <v>21</v>
      </c>
      <c r="B8">
        <v>2249.2399999999998</v>
      </c>
      <c r="C8">
        <v>2249.2399999999998</v>
      </c>
      <c r="D8">
        <v>2213.9699999999998</v>
      </c>
      <c r="E8">
        <v>2221.3000000000002</v>
      </c>
    </row>
    <row r="9" spans="1:5" x14ac:dyDescent="0.3">
      <c r="A9" s="1" t="s">
        <v>22</v>
      </c>
      <c r="B9">
        <v>2232.1999999999998</v>
      </c>
      <c r="C9">
        <v>2249.3200000000002</v>
      </c>
      <c r="D9">
        <v>2223.15</v>
      </c>
      <c r="E9">
        <v>2238.04</v>
      </c>
    </row>
    <row r="10" spans="1:5" x14ac:dyDescent="0.3">
      <c r="A10" s="1" t="s">
        <v>23</v>
      </c>
      <c r="B10">
        <v>2244.2199999999998</v>
      </c>
      <c r="C10">
        <v>2286.16</v>
      </c>
      <c r="D10">
        <v>2234.9899999999998</v>
      </c>
      <c r="E10">
        <v>2285.5100000000002</v>
      </c>
    </row>
    <row r="11" spans="1:5" x14ac:dyDescent="0.3">
      <c r="A11" s="1" t="s">
        <v>24</v>
      </c>
      <c r="B11">
        <v>2298.2399999999998</v>
      </c>
      <c r="C11">
        <v>2298.39</v>
      </c>
      <c r="D11">
        <v>2272.31</v>
      </c>
      <c r="E11">
        <v>2278.58</v>
      </c>
    </row>
    <row r="12" spans="1:5" x14ac:dyDescent="0.3">
      <c r="A12" s="1" t="s">
        <v>25</v>
      </c>
      <c r="B12">
        <v>2287.64</v>
      </c>
      <c r="C12">
        <v>2313.8200000000002</v>
      </c>
      <c r="D12">
        <v>2283.6999999999998</v>
      </c>
      <c r="E12">
        <v>2307.2600000000002</v>
      </c>
    </row>
    <row r="13" spans="1:5" x14ac:dyDescent="0.3">
      <c r="A13" s="1" t="s">
        <v>26</v>
      </c>
      <c r="B13">
        <v>2313.77</v>
      </c>
      <c r="C13">
        <v>2333.5700000000002</v>
      </c>
      <c r="D13">
        <v>2301.94</v>
      </c>
      <c r="E13">
        <v>2324.8000000000002</v>
      </c>
    </row>
    <row r="14" spans="1:5" x14ac:dyDescent="0.3">
      <c r="A14" s="1" t="s">
        <v>27</v>
      </c>
      <c r="B14">
        <v>2319.54</v>
      </c>
      <c r="C14">
        <v>2333.1</v>
      </c>
      <c r="D14">
        <v>2313.4299999999998</v>
      </c>
      <c r="E14">
        <v>2332.87</v>
      </c>
    </row>
    <row r="15" spans="1:5" x14ac:dyDescent="0.3">
      <c r="A15" s="1" t="s">
        <v>28</v>
      </c>
      <c r="B15">
        <v>2335.9699999999998</v>
      </c>
      <c r="C15">
        <v>2372.9899999999998</v>
      </c>
      <c r="D15">
        <v>2335.9699999999998</v>
      </c>
      <c r="E15">
        <v>2362.75</v>
      </c>
    </row>
    <row r="16" spans="1:5" x14ac:dyDescent="0.3">
      <c r="A16" s="1" t="s">
        <v>29</v>
      </c>
      <c r="B16">
        <v>2358.06</v>
      </c>
      <c r="C16">
        <v>2368.39</v>
      </c>
      <c r="D16">
        <v>2349.11</v>
      </c>
      <c r="E16">
        <v>2363.2399999999998</v>
      </c>
    </row>
    <row r="17" spans="1:5" x14ac:dyDescent="0.3">
      <c r="A17" s="1" t="s">
        <v>30</v>
      </c>
      <c r="B17">
        <v>2368.91</v>
      </c>
      <c r="C17">
        <v>2386.41</v>
      </c>
      <c r="D17">
        <v>2366.64</v>
      </c>
      <c r="E17">
        <v>2378.7800000000002</v>
      </c>
    </row>
    <row r="18" spans="1:5" x14ac:dyDescent="0.3">
      <c r="A18" s="1" t="s">
        <v>31</v>
      </c>
      <c r="B18">
        <v>2345.04</v>
      </c>
      <c r="C18">
        <v>2376.4</v>
      </c>
      <c r="D18">
        <v>2341.41</v>
      </c>
      <c r="E18">
        <v>2376.4</v>
      </c>
    </row>
    <row r="19" spans="1:5" x14ac:dyDescent="0.3">
      <c r="A19" s="1" t="s">
        <v>32</v>
      </c>
      <c r="B19">
        <v>2378.0700000000002</v>
      </c>
      <c r="C19">
        <v>2400.75</v>
      </c>
      <c r="D19">
        <v>2374.02</v>
      </c>
      <c r="E19">
        <v>2399.02</v>
      </c>
    </row>
    <row r="20" spans="1:5" x14ac:dyDescent="0.3">
      <c r="A20" s="1" t="s">
        <v>33</v>
      </c>
      <c r="B20">
        <v>2406.37</v>
      </c>
      <c r="C20">
        <v>2413.6</v>
      </c>
      <c r="D20">
        <v>2396.69</v>
      </c>
      <c r="E20">
        <v>2398.6799999999998</v>
      </c>
    </row>
    <row r="21" spans="1:5" x14ac:dyDescent="0.3">
      <c r="A21" s="1" t="s">
        <v>34</v>
      </c>
      <c r="B21">
        <v>2410.4899999999998</v>
      </c>
      <c r="C21">
        <v>2441.79</v>
      </c>
      <c r="D21">
        <v>2409.1799999999998</v>
      </c>
      <c r="E21">
        <v>2441.23</v>
      </c>
    </row>
    <row r="22" spans="1:5" x14ac:dyDescent="0.3">
      <c r="A22" s="1" t="s">
        <v>35</v>
      </c>
      <c r="B22">
        <v>2444.63</v>
      </c>
      <c r="C22">
        <v>2444.81</v>
      </c>
      <c r="D22">
        <v>2428.87</v>
      </c>
      <c r="E22">
        <v>2433.77</v>
      </c>
    </row>
    <row r="23" spans="1:5" x14ac:dyDescent="0.3">
      <c r="A23" s="1" t="s">
        <v>36</v>
      </c>
      <c r="B23">
        <v>2368.3000000000002</v>
      </c>
      <c r="C23">
        <v>2396.4699999999998</v>
      </c>
      <c r="D23">
        <v>2368.3000000000002</v>
      </c>
      <c r="E23">
        <v>2390.37</v>
      </c>
    </row>
    <row r="24" spans="1:5" x14ac:dyDescent="0.3">
      <c r="A24" s="1" t="s">
        <v>37</v>
      </c>
      <c r="B24">
        <v>2401.3200000000002</v>
      </c>
      <c r="C24">
        <v>2416.11</v>
      </c>
      <c r="D24">
        <v>2387.06</v>
      </c>
      <c r="E24">
        <v>2414.96</v>
      </c>
    </row>
    <row r="25" spans="1:5" x14ac:dyDescent="0.3">
      <c r="A25" s="1" t="s">
        <v>38</v>
      </c>
      <c r="B25">
        <v>2414.7800000000002</v>
      </c>
      <c r="C25">
        <v>2426.7600000000002</v>
      </c>
      <c r="D25">
        <v>2380.36</v>
      </c>
      <c r="E25">
        <v>2394.7199999999998</v>
      </c>
    </row>
    <row r="26" spans="1:5" x14ac:dyDescent="0.3">
      <c r="A26" s="1" t="s">
        <v>39</v>
      </c>
      <c r="B26">
        <v>2419.44</v>
      </c>
      <c r="C26">
        <v>2460.4499999999998</v>
      </c>
      <c r="D26">
        <v>2411.06</v>
      </c>
      <c r="E26">
        <v>2460.4499999999998</v>
      </c>
    </row>
    <row r="27" spans="1:5" x14ac:dyDescent="0.3">
      <c r="A27" s="1" t="s">
        <v>40</v>
      </c>
      <c r="B27">
        <v>2467.5300000000002</v>
      </c>
      <c r="C27">
        <v>2497.37</v>
      </c>
      <c r="D27">
        <v>2462.5100000000002</v>
      </c>
      <c r="E27">
        <v>2488.16</v>
      </c>
    </row>
    <row r="28" spans="1:5" x14ac:dyDescent="0.3">
      <c r="A28" s="1" t="s">
        <v>41</v>
      </c>
      <c r="B28">
        <v>2490.69</v>
      </c>
      <c r="C28">
        <v>2515.39</v>
      </c>
      <c r="D28">
        <v>2484.87</v>
      </c>
      <c r="E28">
        <v>2507.54</v>
      </c>
    </row>
    <row r="29" spans="1:5" x14ac:dyDescent="0.3">
      <c r="A29" s="1" t="s">
        <v>42</v>
      </c>
      <c r="B29">
        <v>2505.9</v>
      </c>
      <c r="C29">
        <v>2539.54</v>
      </c>
      <c r="D29">
        <v>2499.12</v>
      </c>
      <c r="E29">
        <v>2535.2399999999998</v>
      </c>
    </row>
    <row r="30" spans="1:5" x14ac:dyDescent="0.3">
      <c r="A30" s="1" t="s">
        <v>43</v>
      </c>
      <c r="B30">
        <v>2540.4499999999998</v>
      </c>
      <c r="C30">
        <v>2577.52</v>
      </c>
      <c r="D30">
        <v>2539.4499999999998</v>
      </c>
      <c r="E30">
        <v>2568.7199999999998</v>
      </c>
    </row>
    <row r="31" spans="1:5" x14ac:dyDescent="0.3">
      <c r="A31" s="1" t="s">
        <v>44</v>
      </c>
      <c r="B31">
        <v>2588.58</v>
      </c>
      <c r="C31">
        <v>2612.0500000000002</v>
      </c>
      <c r="D31">
        <v>2579.1999999999998</v>
      </c>
      <c r="E31">
        <v>2594.92</v>
      </c>
    </row>
    <row r="32" spans="1:5" x14ac:dyDescent="0.3">
      <c r="A32" s="1" t="s">
        <v>45</v>
      </c>
      <c r="B32">
        <v>2594.1</v>
      </c>
      <c r="C32">
        <v>2603.79</v>
      </c>
      <c r="D32">
        <v>2565.59</v>
      </c>
      <c r="E32">
        <v>2575.77</v>
      </c>
    </row>
    <row r="33" spans="1:5" x14ac:dyDescent="0.3">
      <c r="A33" s="1" t="s">
        <v>46</v>
      </c>
      <c r="B33">
        <v>2574.5500000000002</v>
      </c>
      <c r="C33">
        <v>2610.75</v>
      </c>
      <c r="D33">
        <v>2564.13</v>
      </c>
      <c r="E33">
        <v>2596.79</v>
      </c>
    </row>
    <row r="34" spans="1:5" x14ac:dyDescent="0.3">
      <c r="A34" s="1" t="s">
        <v>47</v>
      </c>
      <c r="B34">
        <v>2612.52</v>
      </c>
      <c r="C34">
        <v>2675.7</v>
      </c>
      <c r="D34">
        <v>2610.54</v>
      </c>
      <c r="E34">
        <v>2671.05</v>
      </c>
    </row>
    <row r="35" spans="1:5" x14ac:dyDescent="0.3">
      <c r="A35" s="1" t="s">
        <v>48</v>
      </c>
      <c r="B35">
        <v>2681.55</v>
      </c>
      <c r="C35">
        <v>2694.82</v>
      </c>
      <c r="D35">
        <v>2619.1999999999998</v>
      </c>
      <c r="E35">
        <v>2634.88</v>
      </c>
    </row>
    <row r="36" spans="1:5" x14ac:dyDescent="0.3">
      <c r="A36" s="1" t="s">
        <v>49</v>
      </c>
      <c r="B36">
        <v>2625.46</v>
      </c>
      <c r="C36">
        <v>2635.34</v>
      </c>
      <c r="D36">
        <v>2609.21</v>
      </c>
      <c r="E36">
        <v>2613.7600000000002</v>
      </c>
    </row>
    <row r="37" spans="1:5" x14ac:dyDescent="0.3">
      <c r="A37" s="1" t="s">
        <v>50</v>
      </c>
      <c r="B37">
        <v>2613.83</v>
      </c>
      <c r="C37">
        <v>2637.62</v>
      </c>
      <c r="D37">
        <v>2612.6999999999998</v>
      </c>
      <c r="E37">
        <v>2618.17</v>
      </c>
    </row>
    <row r="38" spans="1:5" x14ac:dyDescent="0.3">
      <c r="A38" s="1" t="s">
        <v>51</v>
      </c>
      <c r="B38">
        <v>2619.17</v>
      </c>
      <c r="C38">
        <v>2619.17</v>
      </c>
      <c r="D38">
        <v>2550.89</v>
      </c>
      <c r="E38">
        <v>2555.7399999999998</v>
      </c>
    </row>
    <row r="39" spans="1:5" x14ac:dyDescent="0.3">
      <c r="A39" s="1" t="s">
        <v>52</v>
      </c>
      <c r="B39">
        <v>2545.89</v>
      </c>
      <c r="C39">
        <v>2589.8200000000002</v>
      </c>
      <c r="D39">
        <v>2545.89</v>
      </c>
      <c r="E39">
        <v>2572.0500000000002</v>
      </c>
    </row>
    <row r="40" spans="1:5" x14ac:dyDescent="0.3">
      <c r="A40" s="1" t="s">
        <v>53</v>
      </c>
      <c r="B40">
        <v>2591.88</v>
      </c>
      <c r="C40">
        <v>2620.35</v>
      </c>
      <c r="D40">
        <v>2591.88</v>
      </c>
      <c r="E40">
        <v>2620.35</v>
      </c>
    </row>
    <row r="41" spans="1:5" x14ac:dyDescent="0.3">
      <c r="A41" s="1" t="s">
        <v>54</v>
      </c>
      <c r="B41">
        <v>2620.31</v>
      </c>
      <c r="C41">
        <v>2632.75</v>
      </c>
      <c r="D41">
        <v>2585.19</v>
      </c>
      <c r="E41">
        <v>2590.06</v>
      </c>
    </row>
    <row r="42" spans="1:5" x14ac:dyDescent="0.3">
      <c r="A42" s="1" t="s">
        <v>55</v>
      </c>
      <c r="B42">
        <v>2560.46</v>
      </c>
      <c r="C42">
        <v>2590.08</v>
      </c>
      <c r="D42">
        <v>2556.4899999999998</v>
      </c>
      <c r="E42">
        <v>2579.52</v>
      </c>
    </row>
    <row r="43" spans="1:5" x14ac:dyDescent="0.3">
      <c r="A43" s="1" t="s">
        <v>56</v>
      </c>
      <c r="B43">
        <v>2572.09</v>
      </c>
      <c r="C43">
        <v>2608.14</v>
      </c>
      <c r="D43">
        <v>2546.7199999999998</v>
      </c>
      <c r="E43">
        <v>2601.65</v>
      </c>
    </row>
    <row r="44" spans="1:5" x14ac:dyDescent="0.3">
      <c r="A44" s="1" t="s">
        <v>57</v>
      </c>
      <c r="B44">
        <v>2561.98</v>
      </c>
      <c r="C44">
        <v>2567.84</v>
      </c>
      <c r="D44">
        <v>2499.54</v>
      </c>
      <c r="E44">
        <v>2499.54</v>
      </c>
    </row>
    <row r="45" spans="1:5" x14ac:dyDescent="0.3">
      <c r="A45" s="1" t="s">
        <v>58</v>
      </c>
      <c r="B45">
        <v>2552.17</v>
      </c>
      <c r="C45">
        <v>2593.13</v>
      </c>
      <c r="D45">
        <v>2552.17</v>
      </c>
      <c r="E45">
        <v>2591.79</v>
      </c>
    </row>
    <row r="46" spans="1:5" x14ac:dyDescent="0.3">
      <c r="A46" s="1" t="s">
        <v>59</v>
      </c>
      <c r="B46">
        <v>2602.0300000000002</v>
      </c>
      <c r="C46">
        <v>2639.94</v>
      </c>
      <c r="D46">
        <v>2593.58</v>
      </c>
      <c r="E46">
        <v>2638.92</v>
      </c>
    </row>
    <row r="47" spans="1:5" x14ac:dyDescent="0.3">
      <c r="A47" s="1" t="s">
        <v>60</v>
      </c>
      <c r="B47">
        <v>2622.4</v>
      </c>
      <c r="C47">
        <v>2650.01</v>
      </c>
      <c r="D47">
        <v>2611.4</v>
      </c>
      <c r="E47">
        <v>2642.59</v>
      </c>
    </row>
    <row r="48" spans="1:5" x14ac:dyDescent="0.3">
      <c r="A48" s="1" t="s">
        <v>61</v>
      </c>
      <c r="B48">
        <v>2639.39</v>
      </c>
      <c r="C48">
        <v>2639.39</v>
      </c>
      <c r="D48">
        <v>2571.15</v>
      </c>
      <c r="E48">
        <v>2589.87</v>
      </c>
    </row>
    <row r="49" spans="1:5" x14ac:dyDescent="0.3">
      <c r="A49" s="1" t="s">
        <v>62</v>
      </c>
      <c r="B49">
        <v>2599.9</v>
      </c>
      <c r="C49">
        <v>2626.1</v>
      </c>
      <c r="D49">
        <v>2570.7800000000002</v>
      </c>
      <c r="E49">
        <v>2584.04</v>
      </c>
    </row>
    <row r="50" spans="1:5" x14ac:dyDescent="0.3">
      <c r="A50" s="1" t="s">
        <v>63</v>
      </c>
      <c r="B50">
        <v>2606.16</v>
      </c>
      <c r="C50">
        <v>2630.38</v>
      </c>
      <c r="D50">
        <v>2606.15</v>
      </c>
      <c r="E50">
        <v>2626.79</v>
      </c>
    </row>
    <row r="51" spans="1:5" x14ac:dyDescent="0.3">
      <c r="A51" s="1" t="s">
        <v>64</v>
      </c>
      <c r="B51">
        <v>2631.14</v>
      </c>
      <c r="C51">
        <v>2691.37</v>
      </c>
      <c r="D51">
        <v>2631.14</v>
      </c>
      <c r="E51">
        <v>2683.05</v>
      </c>
    </row>
    <row r="52" spans="1:5" x14ac:dyDescent="0.3">
      <c r="A52" s="1" t="s">
        <v>65</v>
      </c>
      <c r="B52">
        <v>2689.25</v>
      </c>
      <c r="C52">
        <v>2764.34</v>
      </c>
      <c r="D52">
        <v>2675.64</v>
      </c>
      <c r="E52">
        <v>2754.38</v>
      </c>
    </row>
    <row r="53" spans="1:5" x14ac:dyDescent="0.3">
      <c r="A53" s="1" t="s">
        <v>66</v>
      </c>
      <c r="B53">
        <v>2761.47</v>
      </c>
      <c r="C53">
        <v>2783.2</v>
      </c>
      <c r="D53">
        <v>2752.48</v>
      </c>
      <c r="E53">
        <v>2777.61</v>
      </c>
    </row>
    <row r="54" spans="1:5" x14ac:dyDescent="0.3">
      <c r="A54" s="1" t="s">
        <v>67</v>
      </c>
      <c r="B54">
        <v>2792.96</v>
      </c>
      <c r="C54">
        <v>2827.92</v>
      </c>
      <c r="D54">
        <v>2783.31</v>
      </c>
      <c r="E54">
        <v>2799.02</v>
      </c>
    </row>
    <row r="55" spans="1:5" x14ac:dyDescent="0.3">
      <c r="A55" s="1" t="s">
        <v>68</v>
      </c>
      <c r="B55">
        <v>2782.47</v>
      </c>
      <c r="C55">
        <v>2798.6</v>
      </c>
      <c r="D55">
        <v>2767.15</v>
      </c>
      <c r="E55">
        <v>2779.33</v>
      </c>
    </row>
    <row r="56" spans="1:5" x14ac:dyDescent="0.3">
      <c r="A56" s="1" t="s">
        <v>69</v>
      </c>
      <c r="B56">
        <v>2782</v>
      </c>
      <c r="C56">
        <v>2782.62</v>
      </c>
      <c r="D56">
        <v>2728.11</v>
      </c>
      <c r="E56">
        <v>2753.23</v>
      </c>
    </row>
    <row r="57" spans="1:5" x14ac:dyDescent="0.3">
      <c r="A57" s="1" t="s">
        <v>70</v>
      </c>
      <c r="B57">
        <v>2738.76</v>
      </c>
      <c r="C57">
        <v>2754.69</v>
      </c>
      <c r="D57">
        <v>2706.24</v>
      </c>
      <c r="E57">
        <v>2725.07</v>
      </c>
    </row>
    <row r="58" spans="1:5" x14ac:dyDescent="0.3">
      <c r="A58" s="1" t="s">
        <v>71</v>
      </c>
      <c r="B58">
        <v>2758.25</v>
      </c>
      <c r="C58">
        <v>2769.24</v>
      </c>
      <c r="D58">
        <v>2740.97</v>
      </c>
      <c r="E58">
        <v>2767.76</v>
      </c>
    </row>
    <row r="59" spans="1:5" x14ac:dyDescent="0.3">
      <c r="A59" s="1" t="s">
        <v>72</v>
      </c>
      <c r="B59">
        <v>2774.97</v>
      </c>
      <c r="C59">
        <v>2806.71</v>
      </c>
      <c r="D59">
        <v>2758.92</v>
      </c>
      <c r="E59">
        <v>2800.29</v>
      </c>
    </row>
    <row r="60" spans="1:5" x14ac:dyDescent="0.3">
      <c r="A60" s="1" t="s">
        <v>73</v>
      </c>
      <c r="B60">
        <v>2797.22</v>
      </c>
      <c r="C60">
        <v>2804.1</v>
      </c>
      <c r="D60">
        <v>2754.91</v>
      </c>
      <c r="E60">
        <v>2769.17</v>
      </c>
    </row>
    <row r="61" spans="1:5" x14ac:dyDescent="0.3">
      <c r="A61" s="1" t="s">
        <v>74</v>
      </c>
      <c r="B61">
        <v>2756.51</v>
      </c>
      <c r="C61">
        <v>2791.7</v>
      </c>
      <c r="D61">
        <v>2735.88</v>
      </c>
      <c r="E61">
        <v>2780.04</v>
      </c>
    </row>
    <row r="62" spans="1:5" x14ac:dyDescent="0.3">
      <c r="A62" s="1" t="s">
        <v>75</v>
      </c>
      <c r="B62">
        <v>2762.11</v>
      </c>
      <c r="C62">
        <v>2776.12</v>
      </c>
      <c r="D62">
        <v>2741.31</v>
      </c>
      <c r="E62">
        <v>2747.7</v>
      </c>
    </row>
    <row r="63" spans="1:5" x14ac:dyDescent="0.3">
      <c r="A63" s="1" t="s">
        <v>76</v>
      </c>
      <c r="B63">
        <v>2707.63</v>
      </c>
      <c r="C63">
        <v>2721.81</v>
      </c>
      <c r="D63">
        <v>2668.15</v>
      </c>
      <c r="E63">
        <v>2689.05</v>
      </c>
    </row>
    <row r="64" spans="1:5" x14ac:dyDescent="0.3">
      <c r="A64" s="1" t="s">
        <v>77</v>
      </c>
      <c r="B64">
        <v>2704.15</v>
      </c>
      <c r="C64">
        <v>2750.32</v>
      </c>
      <c r="D64">
        <v>2704.13</v>
      </c>
      <c r="E64">
        <v>2735.15</v>
      </c>
    </row>
    <row r="65" spans="1:5" x14ac:dyDescent="0.3">
      <c r="A65" s="1" t="s">
        <v>78</v>
      </c>
      <c r="B65">
        <v>2732.51</v>
      </c>
      <c r="C65">
        <v>2749.43</v>
      </c>
      <c r="D65">
        <v>2713.69</v>
      </c>
      <c r="E65">
        <v>2747.99</v>
      </c>
    </row>
    <row r="66" spans="1:5" x14ac:dyDescent="0.3">
      <c r="A66" s="1" t="s">
        <v>79</v>
      </c>
      <c r="B66">
        <v>2699.72</v>
      </c>
      <c r="C66">
        <v>2711.35</v>
      </c>
      <c r="D66">
        <v>2634.29</v>
      </c>
      <c r="E66">
        <v>2635.76</v>
      </c>
    </row>
    <row r="67" spans="1:5" x14ac:dyDescent="0.3">
      <c r="A67" s="1" t="s">
        <v>80</v>
      </c>
      <c r="B67">
        <v>2622.44</v>
      </c>
      <c r="C67">
        <v>2622.81</v>
      </c>
      <c r="D67">
        <v>2459.0300000000002</v>
      </c>
      <c r="E67">
        <v>2467.9899999999998</v>
      </c>
    </row>
    <row r="68" spans="1:5" x14ac:dyDescent="0.3">
      <c r="A68" s="1" t="s">
        <v>81</v>
      </c>
      <c r="B68">
        <v>2357.87</v>
      </c>
      <c r="C68">
        <v>2478.02</v>
      </c>
      <c r="D68">
        <v>2295.2600000000002</v>
      </c>
      <c r="E68">
        <v>2431.3200000000002</v>
      </c>
    </row>
    <row r="69" spans="1:5" x14ac:dyDescent="0.3">
      <c r="A69" s="1" t="s">
        <v>82</v>
      </c>
      <c r="B69">
        <v>2471.79</v>
      </c>
      <c r="C69">
        <v>2518.89</v>
      </c>
      <c r="D69">
        <v>2435.0700000000002</v>
      </c>
      <c r="E69">
        <v>2507.84</v>
      </c>
    </row>
    <row r="70" spans="1:5" x14ac:dyDescent="0.3">
      <c r="A70" s="1" t="s">
        <v>83</v>
      </c>
      <c r="B70">
        <v>2432.85</v>
      </c>
      <c r="C70">
        <v>2497.9299999999998</v>
      </c>
      <c r="D70">
        <v>2409.92</v>
      </c>
      <c r="E70">
        <v>2433.75</v>
      </c>
    </row>
    <row r="71" spans="1:5" x14ac:dyDescent="0.3">
      <c r="A71" s="1" t="s">
        <v>84</v>
      </c>
      <c r="B71">
        <v>2541.89</v>
      </c>
      <c r="C71">
        <v>2603.96</v>
      </c>
      <c r="D71">
        <v>2521.46</v>
      </c>
      <c r="E71">
        <v>2553.5700000000002</v>
      </c>
    </row>
    <row r="72" spans="1:5" x14ac:dyDescent="0.3">
      <c r="A72" s="1" t="s">
        <v>85</v>
      </c>
      <c r="B72">
        <v>2559.9899999999998</v>
      </c>
      <c r="C72">
        <v>2587.6799999999998</v>
      </c>
      <c r="D72">
        <v>2518.27</v>
      </c>
      <c r="E72">
        <v>2529.25</v>
      </c>
    </row>
    <row r="73" spans="1:5" x14ac:dyDescent="0.3">
      <c r="A73" s="1" t="s">
        <v>86</v>
      </c>
      <c r="B73">
        <v>2578.66</v>
      </c>
      <c r="C73">
        <v>2609.56</v>
      </c>
      <c r="D73">
        <v>2573.12</v>
      </c>
      <c r="E73">
        <v>2608.21</v>
      </c>
    </row>
    <row r="74" spans="1:5" x14ac:dyDescent="0.3">
      <c r="A74" s="1" t="s">
        <v>87</v>
      </c>
      <c r="B74">
        <v>2611.8000000000002</v>
      </c>
      <c r="C74">
        <v>2659.36</v>
      </c>
      <c r="D74">
        <v>2591.33</v>
      </c>
      <c r="E74">
        <v>2618.4899999999998</v>
      </c>
    </row>
    <row r="75" spans="1:5" x14ac:dyDescent="0.3">
      <c r="A75" s="1" t="s">
        <v>88</v>
      </c>
      <c r="B75">
        <v>2596.2199999999998</v>
      </c>
      <c r="C75">
        <v>2640.92</v>
      </c>
      <c r="D75">
        <v>2589.0500000000002</v>
      </c>
      <c r="E75">
        <v>2615.84</v>
      </c>
    </row>
    <row r="76" spans="1:5" x14ac:dyDescent="0.3">
      <c r="A76" s="1" t="s">
        <v>89</v>
      </c>
      <c r="B76">
        <v>2629.92</v>
      </c>
      <c r="C76">
        <v>2669.82</v>
      </c>
      <c r="D76">
        <v>2626.36</v>
      </c>
      <c r="E76">
        <v>2643.52</v>
      </c>
    </row>
    <row r="77" spans="1:5" x14ac:dyDescent="0.3">
      <c r="A77" s="1" t="s">
        <v>90</v>
      </c>
      <c r="B77">
        <v>2652.51</v>
      </c>
      <c r="C77">
        <v>2700.41</v>
      </c>
      <c r="D77">
        <v>2652.51</v>
      </c>
      <c r="E77">
        <v>2700.41</v>
      </c>
    </row>
    <row r="78" spans="1:5" x14ac:dyDescent="0.3">
      <c r="A78" s="1" t="s">
        <v>91</v>
      </c>
      <c r="B78">
        <v>2733.02</v>
      </c>
      <c r="C78">
        <v>2784.12</v>
      </c>
      <c r="D78">
        <v>2727.86</v>
      </c>
      <c r="E78">
        <v>2783.01</v>
      </c>
    </row>
    <row r="79" spans="1:5" x14ac:dyDescent="0.3">
      <c r="A79" s="1" t="s">
        <v>92</v>
      </c>
      <c r="B79">
        <v>2768.94</v>
      </c>
      <c r="C79">
        <v>2798.75</v>
      </c>
      <c r="D79">
        <v>2743.51</v>
      </c>
      <c r="E79">
        <v>2797.29</v>
      </c>
    </row>
    <row r="80" spans="1:5" x14ac:dyDescent="0.3">
      <c r="A80" s="1" t="s">
        <v>93</v>
      </c>
      <c r="B80">
        <v>2800.23</v>
      </c>
      <c r="C80">
        <v>2816.3</v>
      </c>
      <c r="D80">
        <v>2784.81</v>
      </c>
      <c r="E80">
        <v>2793.7</v>
      </c>
    </row>
    <row r="81" spans="1:5" x14ac:dyDescent="0.3">
      <c r="A81" s="1" t="s">
        <v>94</v>
      </c>
      <c r="B81">
        <v>2803.63</v>
      </c>
      <c r="C81">
        <v>2825.56</v>
      </c>
      <c r="D81">
        <v>2792.99</v>
      </c>
      <c r="E81">
        <v>2805.35</v>
      </c>
    </row>
    <row r="82" spans="1:5" x14ac:dyDescent="0.3">
      <c r="A82" s="1" t="s">
        <v>95</v>
      </c>
      <c r="B82">
        <v>2815.35</v>
      </c>
      <c r="C82">
        <v>2838.45</v>
      </c>
      <c r="D82">
        <v>2797.99</v>
      </c>
      <c r="E82">
        <v>2810.88</v>
      </c>
    </row>
    <row r="83" spans="1:5" x14ac:dyDescent="0.3">
      <c r="A83" s="1" t="s">
        <v>96</v>
      </c>
      <c r="B83">
        <v>2816.05</v>
      </c>
      <c r="C83">
        <v>2818.97</v>
      </c>
      <c r="D83">
        <v>2727.1</v>
      </c>
      <c r="E83">
        <v>2737.86</v>
      </c>
    </row>
    <row r="84" spans="1:5" x14ac:dyDescent="0.3">
      <c r="A84" s="1" t="s">
        <v>97</v>
      </c>
      <c r="B84">
        <v>2775.62</v>
      </c>
      <c r="C84">
        <v>2811.07</v>
      </c>
      <c r="D84">
        <v>2766.57</v>
      </c>
      <c r="E84">
        <v>2811.07</v>
      </c>
    </row>
    <row r="85" spans="1:5" x14ac:dyDescent="0.3">
      <c r="A85" s="1" t="s">
        <v>98</v>
      </c>
      <c r="B85">
        <v>2800.14</v>
      </c>
      <c r="C85">
        <v>2800.14</v>
      </c>
      <c r="D85">
        <v>2762.85</v>
      </c>
      <c r="E85">
        <v>2784.03</v>
      </c>
    </row>
    <row r="86" spans="1:5" x14ac:dyDescent="0.3">
      <c r="A86" s="1" t="s">
        <v>99</v>
      </c>
      <c r="B86">
        <v>2757.35</v>
      </c>
      <c r="C86">
        <v>2757.35</v>
      </c>
      <c r="D86">
        <v>2679.69</v>
      </c>
      <c r="E86">
        <v>2718.17</v>
      </c>
    </row>
    <row r="87" spans="1:5" x14ac:dyDescent="0.3">
      <c r="A87" s="1" t="s">
        <v>100</v>
      </c>
      <c r="B87">
        <v>2722.86</v>
      </c>
      <c r="C87">
        <v>2754.71</v>
      </c>
      <c r="D87">
        <v>2717.01</v>
      </c>
      <c r="E87">
        <v>2748.53</v>
      </c>
    </row>
    <row r="88" spans="1:5" x14ac:dyDescent="0.3">
      <c r="A88" s="1" t="s">
        <v>101</v>
      </c>
      <c r="B88">
        <v>2757.5</v>
      </c>
      <c r="C88">
        <v>2788.37</v>
      </c>
      <c r="D88">
        <v>2741.55</v>
      </c>
      <c r="E88">
        <v>2767.86</v>
      </c>
    </row>
    <row r="89" spans="1:5" x14ac:dyDescent="0.3">
      <c r="A89" s="1" t="s">
        <v>102</v>
      </c>
      <c r="B89">
        <v>2778.89</v>
      </c>
      <c r="C89">
        <v>2846.41</v>
      </c>
      <c r="D89">
        <v>2776.68</v>
      </c>
      <c r="E89">
        <v>2842.14</v>
      </c>
    </row>
    <row r="90" spans="1:5" x14ac:dyDescent="0.3">
      <c r="A90" s="1" t="s">
        <v>103</v>
      </c>
      <c r="B90">
        <v>2856.45</v>
      </c>
      <c r="C90">
        <v>2897.73</v>
      </c>
      <c r="D90">
        <v>2815.19</v>
      </c>
      <c r="E90">
        <v>2831.63</v>
      </c>
    </row>
    <row r="91" spans="1:5" x14ac:dyDescent="0.3">
      <c r="A91" s="1" t="s">
        <v>104</v>
      </c>
      <c r="B91">
        <v>2839.23</v>
      </c>
      <c r="C91">
        <v>2849.22</v>
      </c>
      <c r="D91">
        <v>2812.66</v>
      </c>
      <c r="E91">
        <v>2849.22</v>
      </c>
    </row>
    <row r="92" spans="1:5" x14ac:dyDescent="0.3">
      <c r="A92" s="1" t="s">
        <v>105</v>
      </c>
      <c r="B92">
        <v>2858.1</v>
      </c>
      <c r="C92">
        <v>2863.64</v>
      </c>
      <c r="D92">
        <v>2813.56</v>
      </c>
      <c r="E92">
        <v>2831.42</v>
      </c>
    </row>
    <row r="93" spans="1:5" x14ac:dyDescent="0.3">
      <c r="A93" s="1" t="s">
        <v>106</v>
      </c>
      <c r="B93">
        <v>2819.53</v>
      </c>
      <c r="C93">
        <v>2827.96</v>
      </c>
      <c r="D93">
        <v>2789.83</v>
      </c>
      <c r="E93">
        <v>2815.14</v>
      </c>
    </row>
    <row r="94" spans="1:5" x14ac:dyDescent="0.3">
      <c r="A94" s="1" t="s">
        <v>107</v>
      </c>
      <c r="B94">
        <v>2840.28</v>
      </c>
      <c r="C94">
        <v>2851.34</v>
      </c>
      <c r="D94">
        <v>2790.86</v>
      </c>
      <c r="E94">
        <v>2810.35</v>
      </c>
    </row>
    <row r="95" spans="1:5" x14ac:dyDescent="0.3">
      <c r="A95" s="1" t="s">
        <v>108</v>
      </c>
      <c r="B95">
        <v>2769.77</v>
      </c>
      <c r="C95">
        <v>2789.47</v>
      </c>
      <c r="D95">
        <v>2727.47</v>
      </c>
      <c r="E95">
        <v>2786.7</v>
      </c>
    </row>
    <row r="96" spans="1:5" x14ac:dyDescent="0.3">
      <c r="A96" s="1" t="s">
        <v>109</v>
      </c>
      <c r="B96">
        <v>2797.76</v>
      </c>
      <c r="C96">
        <v>2814.76</v>
      </c>
      <c r="D96">
        <v>2786.4</v>
      </c>
      <c r="E96">
        <v>2796.13</v>
      </c>
    </row>
    <row r="97" spans="1:5" x14ac:dyDescent="0.3">
      <c r="A97" s="1" t="s">
        <v>110</v>
      </c>
      <c r="B97">
        <v>2790.83</v>
      </c>
      <c r="C97">
        <v>2791.4</v>
      </c>
      <c r="D97">
        <v>2746.64</v>
      </c>
      <c r="E97">
        <v>2760.83</v>
      </c>
    </row>
    <row r="98" spans="1:5" x14ac:dyDescent="0.3">
      <c r="A98" s="1" t="s">
        <v>111</v>
      </c>
      <c r="B98">
        <v>2749.76</v>
      </c>
      <c r="C98">
        <v>2758.06</v>
      </c>
      <c r="D98">
        <v>2724.71</v>
      </c>
      <c r="E98">
        <v>2738.74</v>
      </c>
    </row>
    <row r="99" spans="1:5" x14ac:dyDescent="0.3">
      <c r="A99" s="1" t="s">
        <v>112</v>
      </c>
      <c r="B99">
        <v>2749.64</v>
      </c>
      <c r="C99">
        <v>2762.41</v>
      </c>
      <c r="D99">
        <v>2653.44</v>
      </c>
      <c r="E99">
        <v>2716.88</v>
      </c>
    </row>
    <row r="100" spans="1:5" x14ac:dyDescent="0.3">
      <c r="A100" s="1" t="s">
        <v>113</v>
      </c>
      <c r="B100">
        <v>2751.96</v>
      </c>
      <c r="C100">
        <v>2797.79</v>
      </c>
      <c r="D100">
        <v>2748.12</v>
      </c>
      <c r="E100">
        <v>2792</v>
      </c>
    </row>
    <row r="101" spans="1:5" x14ac:dyDescent="0.3">
      <c r="A101" s="1" t="s">
        <v>114</v>
      </c>
      <c r="B101">
        <v>2789.87</v>
      </c>
      <c r="C101">
        <v>2817.67</v>
      </c>
      <c r="D101">
        <v>2778.02</v>
      </c>
      <c r="E101">
        <v>2813.71</v>
      </c>
    </row>
    <row r="102" spans="1:5" x14ac:dyDescent="0.3">
      <c r="A102" s="1" t="s">
        <v>115</v>
      </c>
      <c r="B102">
        <v>2818.76</v>
      </c>
      <c r="C102">
        <v>2839.78</v>
      </c>
      <c r="D102">
        <v>2810.49</v>
      </c>
      <c r="E102">
        <v>2836.66</v>
      </c>
    </row>
    <row r="103" spans="1:5" x14ac:dyDescent="0.3">
      <c r="A103" s="1" t="s">
        <v>116</v>
      </c>
      <c r="B103">
        <v>2854.53</v>
      </c>
      <c r="C103">
        <v>2857.26</v>
      </c>
      <c r="D103">
        <v>2779.88</v>
      </c>
      <c r="E103">
        <v>2785.96</v>
      </c>
    </row>
    <row r="104" spans="1:5" x14ac:dyDescent="0.3">
      <c r="A104" s="1" t="s">
        <v>117</v>
      </c>
      <c r="B104">
        <v>2766.55</v>
      </c>
      <c r="C104">
        <v>2774.41</v>
      </c>
      <c r="D104">
        <v>2738.26</v>
      </c>
      <c r="E104">
        <v>2771.86</v>
      </c>
    </row>
    <row r="105" spans="1:5" x14ac:dyDescent="0.3">
      <c r="A105" s="1" t="s">
        <v>118</v>
      </c>
      <c r="B105">
        <v>2718.57</v>
      </c>
      <c r="C105">
        <v>2759.23</v>
      </c>
      <c r="D105">
        <v>2677.77</v>
      </c>
      <c r="E105">
        <v>2755.26</v>
      </c>
    </row>
    <row r="106" spans="1:5" x14ac:dyDescent="0.3">
      <c r="A106" s="1" t="s">
        <v>119</v>
      </c>
      <c r="B106">
        <v>2764.14</v>
      </c>
      <c r="C106">
        <v>2766.37</v>
      </c>
      <c r="D106">
        <v>2692.67</v>
      </c>
      <c r="E106">
        <v>2731.3</v>
      </c>
    </row>
    <row r="107" spans="1:5" x14ac:dyDescent="0.3">
      <c r="A107" s="1" t="s">
        <v>120</v>
      </c>
      <c r="B107">
        <v>2744.7</v>
      </c>
      <c r="C107">
        <v>2773.09</v>
      </c>
      <c r="D107">
        <v>2736.39</v>
      </c>
      <c r="E107">
        <v>2769.33</v>
      </c>
    </row>
    <row r="108" spans="1:5" x14ac:dyDescent="0.3">
      <c r="A108" s="1" t="s">
        <v>121</v>
      </c>
      <c r="B108">
        <v>2768.24</v>
      </c>
      <c r="C108">
        <v>2780.95</v>
      </c>
      <c r="D108">
        <v>2724.12</v>
      </c>
      <c r="E108">
        <v>2734.31</v>
      </c>
    </row>
    <row r="109" spans="1:5" x14ac:dyDescent="0.3">
      <c r="A109" s="1" t="s">
        <v>122</v>
      </c>
      <c r="B109">
        <v>2719.01</v>
      </c>
      <c r="C109">
        <v>2719.01</v>
      </c>
      <c r="D109">
        <v>2657.75</v>
      </c>
      <c r="E109">
        <v>2699.85</v>
      </c>
    </row>
    <row r="110" spans="1:5" x14ac:dyDescent="0.3">
      <c r="A110" s="1" t="s">
        <v>123</v>
      </c>
      <c r="B110">
        <v>2708.66</v>
      </c>
      <c r="C110">
        <v>2736.93</v>
      </c>
      <c r="D110">
        <v>2693.61</v>
      </c>
      <c r="E110">
        <v>2732.67</v>
      </c>
    </row>
    <row r="111" spans="1:5" x14ac:dyDescent="0.3">
      <c r="A111" s="1" t="s">
        <v>124</v>
      </c>
      <c r="B111">
        <v>2736.5</v>
      </c>
      <c r="C111">
        <v>2809.94</v>
      </c>
      <c r="D111">
        <v>2734.36</v>
      </c>
      <c r="E111">
        <v>2794.03</v>
      </c>
    </row>
    <row r="112" spans="1:5" x14ac:dyDescent="0.3">
      <c r="A112" s="1" t="s">
        <v>125</v>
      </c>
      <c r="B112">
        <v>2782.03</v>
      </c>
      <c r="C112">
        <v>2787.52</v>
      </c>
      <c r="D112">
        <v>2749.29</v>
      </c>
      <c r="E112">
        <v>2779.83</v>
      </c>
    </row>
    <row r="113" spans="1:5" x14ac:dyDescent="0.3">
      <c r="A113" s="1" t="s">
        <v>126</v>
      </c>
      <c r="B113">
        <v>2760.92</v>
      </c>
      <c r="C113">
        <v>2797.27</v>
      </c>
      <c r="D113">
        <v>2725.39</v>
      </c>
      <c r="E113">
        <v>2755.65</v>
      </c>
    </row>
    <row r="114" spans="1:5" x14ac:dyDescent="0.3">
      <c r="A114" s="1" t="s">
        <v>127</v>
      </c>
      <c r="B114">
        <v>2712.63</v>
      </c>
      <c r="C114">
        <v>2732.49</v>
      </c>
      <c r="D114">
        <v>2693.34</v>
      </c>
      <c r="E114">
        <v>2707.86</v>
      </c>
    </row>
    <row r="115" spans="1:5" x14ac:dyDescent="0.3">
      <c r="A115" s="1" t="s">
        <v>128</v>
      </c>
      <c r="B115">
        <v>2725.66</v>
      </c>
      <c r="C115">
        <v>2740.72</v>
      </c>
      <c r="D115">
        <v>2706.66</v>
      </c>
      <c r="E115">
        <v>2715.12</v>
      </c>
    </row>
    <row r="116" spans="1:5" x14ac:dyDescent="0.3">
      <c r="A116" s="1" t="s">
        <v>129</v>
      </c>
      <c r="B116">
        <v>2703.94</v>
      </c>
      <c r="C116">
        <v>2736.12</v>
      </c>
      <c r="D116">
        <v>2678.67</v>
      </c>
      <c r="E116">
        <v>2729.31</v>
      </c>
    </row>
    <row r="117" spans="1:5" x14ac:dyDescent="0.3">
      <c r="A117" s="1" t="s">
        <v>130</v>
      </c>
      <c r="B117">
        <v>2727.24</v>
      </c>
      <c r="C117">
        <v>2736.89</v>
      </c>
      <c r="D117">
        <v>2702.97</v>
      </c>
      <c r="E117">
        <v>2723.15</v>
      </c>
    </row>
    <row r="118" spans="1:5" x14ac:dyDescent="0.3">
      <c r="A118" s="1" t="s">
        <v>131</v>
      </c>
      <c r="B118">
        <v>2727.85</v>
      </c>
      <c r="C118">
        <v>2741.94</v>
      </c>
      <c r="D118">
        <v>2718.16</v>
      </c>
      <c r="E118">
        <v>2735.44</v>
      </c>
    </row>
    <row r="119" spans="1:5" x14ac:dyDescent="0.3">
      <c r="A119" s="1" t="s">
        <v>132</v>
      </c>
      <c r="B119">
        <v>2722.95</v>
      </c>
      <c r="C119">
        <v>2722.95</v>
      </c>
      <c r="D119">
        <v>2682.6</v>
      </c>
      <c r="E119">
        <v>2691.54</v>
      </c>
    </row>
    <row r="120" spans="1:5" x14ac:dyDescent="0.3">
      <c r="A120" s="1" t="s">
        <v>133</v>
      </c>
      <c r="B120">
        <v>2725.7</v>
      </c>
      <c r="C120">
        <v>2762.7</v>
      </c>
      <c r="D120">
        <v>2722.96</v>
      </c>
      <c r="E120">
        <v>2762.7</v>
      </c>
    </row>
    <row r="121" spans="1:5" x14ac:dyDescent="0.3">
      <c r="A121" s="1" t="s">
        <v>134</v>
      </c>
      <c r="B121">
        <v>2765.11</v>
      </c>
      <c r="C121">
        <v>2765.11</v>
      </c>
      <c r="D121">
        <v>2740.33</v>
      </c>
      <c r="E121">
        <v>2749.16</v>
      </c>
    </row>
    <row r="122" spans="1:5" x14ac:dyDescent="0.3">
      <c r="A122" s="1" t="s">
        <v>135</v>
      </c>
      <c r="B122">
        <v>2767.06</v>
      </c>
      <c r="C122">
        <v>2819.58</v>
      </c>
      <c r="D122">
        <v>2764.8</v>
      </c>
      <c r="E122">
        <v>2813.09</v>
      </c>
    </row>
    <row r="123" spans="1:5" x14ac:dyDescent="0.3">
      <c r="A123" s="1" t="s">
        <v>136</v>
      </c>
      <c r="B123">
        <v>2821.2</v>
      </c>
      <c r="C123">
        <v>2822.14</v>
      </c>
      <c r="D123">
        <v>2798.68</v>
      </c>
      <c r="E123">
        <v>2815.66</v>
      </c>
    </row>
    <row r="124" spans="1:5" x14ac:dyDescent="0.3">
      <c r="A124" s="1" t="s">
        <v>137</v>
      </c>
      <c r="B124">
        <v>2832.22</v>
      </c>
      <c r="C124">
        <v>2859.84</v>
      </c>
      <c r="D124">
        <v>2823.8</v>
      </c>
      <c r="E124">
        <v>2845.37</v>
      </c>
    </row>
    <row r="125" spans="1:5" x14ac:dyDescent="0.3">
      <c r="A125" s="1" t="s">
        <v>138</v>
      </c>
      <c r="B125">
        <v>2843.48</v>
      </c>
      <c r="C125">
        <v>2862.78</v>
      </c>
      <c r="D125">
        <v>2819.91</v>
      </c>
      <c r="E125">
        <v>2826.5</v>
      </c>
    </row>
    <row r="126" spans="1:5" x14ac:dyDescent="0.3">
      <c r="A126" s="1" t="s">
        <v>139</v>
      </c>
      <c r="B126">
        <v>2830.92</v>
      </c>
      <c r="C126">
        <v>2845.6</v>
      </c>
      <c r="D126">
        <v>2818.37</v>
      </c>
      <c r="E126">
        <v>2839.82</v>
      </c>
    </row>
    <row r="127" spans="1:5" x14ac:dyDescent="0.3">
      <c r="A127" s="1" t="s">
        <v>140</v>
      </c>
      <c r="B127">
        <v>2856.18</v>
      </c>
      <c r="C127">
        <v>2895.08</v>
      </c>
      <c r="D127">
        <v>2856.08</v>
      </c>
      <c r="E127">
        <v>2887.17</v>
      </c>
    </row>
    <row r="128" spans="1:5" x14ac:dyDescent="0.3">
      <c r="A128" s="1" t="s">
        <v>141</v>
      </c>
      <c r="B128">
        <v>2876.59</v>
      </c>
      <c r="C128">
        <v>2886.17</v>
      </c>
      <c r="D128">
        <v>2844.21</v>
      </c>
      <c r="E128">
        <v>2864.98</v>
      </c>
    </row>
    <row r="129" spans="1:5" x14ac:dyDescent="0.3">
      <c r="A129" s="1" t="s">
        <v>142</v>
      </c>
      <c r="B129">
        <v>2863.12</v>
      </c>
      <c r="C129">
        <v>2874.14</v>
      </c>
      <c r="D129">
        <v>2845.31</v>
      </c>
      <c r="E129">
        <v>2861.78</v>
      </c>
    </row>
    <row r="130" spans="1:5" x14ac:dyDescent="0.3">
      <c r="A130" s="1" t="s">
        <v>143</v>
      </c>
      <c r="B130">
        <v>2875.78</v>
      </c>
      <c r="C130">
        <v>2890.62</v>
      </c>
      <c r="D130">
        <v>2872.77</v>
      </c>
      <c r="E130">
        <v>2889.54</v>
      </c>
    </row>
    <row r="131" spans="1:5" x14ac:dyDescent="0.3">
      <c r="A131" s="1" t="s">
        <v>144</v>
      </c>
      <c r="B131">
        <v>2894.68</v>
      </c>
      <c r="C131">
        <v>2903.14</v>
      </c>
      <c r="D131">
        <v>2872.16</v>
      </c>
      <c r="E131">
        <v>2897.67</v>
      </c>
    </row>
    <row r="132" spans="1:5" x14ac:dyDescent="0.3">
      <c r="A132" s="1" t="s">
        <v>145</v>
      </c>
      <c r="B132">
        <v>2905.62</v>
      </c>
      <c r="C132">
        <v>2910.03</v>
      </c>
      <c r="D132">
        <v>2846.77</v>
      </c>
      <c r="E132">
        <v>2850.58</v>
      </c>
    </row>
    <row r="133" spans="1:5" x14ac:dyDescent="0.3">
      <c r="A133" s="1" t="s">
        <v>146</v>
      </c>
      <c r="B133">
        <v>2851.97</v>
      </c>
      <c r="C133">
        <v>2863.74</v>
      </c>
      <c r="D133">
        <v>2837.95</v>
      </c>
      <c r="E133">
        <v>2860.93</v>
      </c>
    </row>
    <row r="134" spans="1:5" x14ac:dyDescent="0.3">
      <c r="A134" s="1" t="s">
        <v>147</v>
      </c>
      <c r="B134">
        <v>2855.22</v>
      </c>
      <c r="C134">
        <v>2879.77</v>
      </c>
      <c r="D134">
        <v>2844.9</v>
      </c>
      <c r="E134">
        <v>2879.77</v>
      </c>
    </row>
    <row r="135" spans="1:5" x14ac:dyDescent="0.3">
      <c r="A135" s="1" t="s">
        <v>148</v>
      </c>
      <c r="B135">
        <v>2894.35</v>
      </c>
      <c r="C135">
        <v>2910.41</v>
      </c>
      <c r="D135">
        <v>2858.57</v>
      </c>
      <c r="E135">
        <v>2870.53</v>
      </c>
    </row>
    <row r="136" spans="1:5" x14ac:dyDescent="0.3">
      <c r="A136" s="1" t="s">
        <v>149</v>
      </c>
      <c r="B136">
        <v>2872.38</v>
      </c>
      <c r="C136">
        <v>2879.21</v>
      </c>
      <c r="D136">
        <v>2852.53</v>
      </c>
      <c r="E136">
        <v>2868.56</v>
      </c>
    </row>
    <row r="137" spans="1:5" x14ac:dyDescent="0.3">
      <c r="A137" s="1" t="s">
        <v>150</v>
      </c>
      <c r="B137">
        <v>2880.13</v>
      </c>
      <c r="C137">
        <v>2908.34</v>
      </c>
      <c r="D137">
        <v>2857.72</v>
      </c>
      <c r="E137">
        <v>2905.75</v>
      </c>
    </row>
    <row r="138" spans="1:5" x14ac:dyDescent="0.3">
      <c r="A138" s="1" t="s">
        <v>151</v>
      </c>
      <c r="B138">
        <v>2933.92</v>
      </c>
      <c r="C138">
        <v>2978.18</v>
      </c>
      <c r="D138">
        <v>2932.68</v>
      </c>
      <c r="E138">
        <v>2964.25</v>
      </c>
    </row>
    <row r="139" spans="1:5" x14ac:dyDescent="0.3">
      <c r="A139" s="1" t="s">
        <v>152</v>
      </c>
      <c r="B139">
        <v>2973.14</v>
      </c>
      <c r="C139">
        <v>2974.69</v>
      </c>
      <c r="D139">
        <v>2933.42</v>
      </c>
      <c r="E139">
        <v>2949.94</v>
      </c>
    </row>
    <row r="140" spans="1:5" x14ac:dyDescent="0.3">
      <c r="A140" s="1" t="s">
        <v>153</v>
      </c>
      <c r="B140">
        <v>2937.01</v>
      </c>
      <c r="C140">
        <v>2940.98</v>
      </c>
      <c r="D140">
        <v>2914.11</v>
      </c>
      <c r="E140">
        <v>2929.23</v>
      </c>
    </row>
    <row r="141" spans="1:5" x14ac:dyDescent="0.3">
      <c r="A141" s="1" t="s">
        <v>154</v>
      </c>
      <c r="B141">
        <v>2951.09</v>
      </c>
      <c r="C141">
        <v>2970.64</v>
      </c>
      <c r="D141">
        <v>2932.8</v>
      </c>
      <c r="E141">
        <v>2946.62</v>
      </c>
    </row>
    <row r="142" spans="1:5" x14ac:dyDescent="0.3">
      <c r="A142" s="1" t="s">
        <v>155</v>
      </c>
      <c r="B142">
        <v>2962.1</v>
      </c>
      <c r="C142">
        <v>2968.34</v>
      </c>
      <c r="D142">
        <v>2941.64</v>
      </c>
      <c r="E142">
        <v>2968.34</v>
      </c>
    </row>
    <row r="143" spans="1:5" x14ac:dyDescent="0.3">
      <c r="A143" s="1" t="s">
        <v>156</v>
      </c>
      <c r="B143">
        <v>2954.79</v>
      </c>
      <c r="C143">
        <v>2962.94</v>
      </c>
      <c r="D143">
        <v>2936</v>
      </c>
      <c r="E143">
        <v>2962.94</v>
      </c>
    </row>
    <row r="144" spans="1:5" x14ac:dyDescent="0.3">
      <c r="A144" s="1" t="s">
        <v>157</v>
      </c>
      <c r="B144">
        <v>2983.63</v>
      </c>
      <c r="C144">
        <v>2987.08</v>
      </c>
      <c r="D144">
        <v>2901.84</v>
      </c>
      <c r="E144">
        <v>2906.6</v>
      </c>
    </row>
    <row r="145" spans="1:5" x14ac:dyDescent="0.3">
      <c r="A145" s="1" t="s">
        <v>158</v>
      </c>
      <c r="B145">
        <v>2905.65</v>
      </c>
      <c r="C145">
        <v>2957.81</v>
      </c>
      <c r="D145">
        <v>2903.89</v>
      </c>
      <c r="E145">
        <v>2950.95</v>
      </c>
    </row>
    <row r="146" spans="1:5" x14ac:dyDescent="0.3">
      <c r="A146" s="1" t="s">
        <v>159</v>
      </c>
      <c r="B146">
        <v>2945.43</v>
      </c>
      <c r="C146">
        <v>2982.18</v>
      </c>
      <c r="D146">
        <v>2937.2</v>
      </c>
      <c r="E146">
        <v>2982.18</v>
      </c>
    </row>
    <row r="147" spans="1:5" x14ac:dyDescent="0.3">
      <c r="A147" s="1" t="s">
        <v>160</v>
      </c>
      <c r="B147">
        <v>2984.54</v>
      </c>
      <c r="C147">
        <v>2990.05</v>
      </c>
      <c r="D147">
        <v>2942.23</v>
      </c>
      <c r="E147">
        <v>2950.42</v>
      </c>
    </row>
    <row r="148" spans="1:5" x14ac:dyDescent="0.3">
      <c r="A148" s="1" t="s">
        <v>161</v>
      </c>
      <c r="B148">
        <v>2935.51</v>
      </c>
      <c r="C148">
        <v>2935.51</v>
      </c>
      <c r="D148">
        <v>2868.49</v>
      </c>
      <c r="E148">
        <v>2884.84</v>
      </c>
    </row>
    <row r="149" spans="1:5" x14ac:dyDescent="0.3">
      <c r="A149" s="1" t="s">
        <v>162</v>
      </c>
      <c r="B149">
        <v>2854.69</v>
      </c>
      <c r="C149">
        <v>2880.23</v>
      </c>
      <c r="D149">
        <v>2840.1</v>
      </c>
      <c r="E149">
        <v>2880.23</v>
      </c>
    </row>
    <row r="150" spans="1:5" x14ac:dyDescent="0.3">
      <c r="A150" s="1" t="s">
        <v>163</v>
      </c>
      <c r="B150">
        <v>2895.72</v>
      </c>
      <c r="C150">
        <v>2901.83</v>
      </c>
      <c r="D150">
        <v>2854.66</v>
      </c>
      <c r="E150">
        <v>2865.63</v>
      </c>
    </row>
    <row r="151" spans="1:5" x14ac:dyDescent="0.3">
      <c r="A151" s="1" t="s">
        <v>164</v>
      </c>
      <c r="B151">
        <v>2878.12</v>
      </c>
      <c r="C151">
        <v>2933.04</v>
      </c>
      <c r="D151">
        <v>2872.83</v>
      </c>
      <c r="E151">
        <v>2932.58</v>
      </c>
    </row>
    <row r="152" spans="1:5" x14ac:dyDescent="0.3">
      <c r="A152" s="1" t="s">
        <v>165</v>
      </c>
      <c r="B152">
        <v>2934.63</v>
      </c>
      <c r="C152">
        <v>3007.02</v>
      </c>
      <c r="D152">
        <v>2923.73</v>
      </c>
      <c r="E152">
        <v>2985.33</v>
      </c>
    </row>
    <row r="153" spans="1:5" x14ac:dyDescent="0.3">
      <c r="A153" s="1" t="s">
        <v>166</v>
      </c>
      <c r="B153">
        <v>2984.72</v>
      </c>
      <c r="C153">
        <v>3027.75</v>
      </c>
      <c r="D153">
        <v>2960.04</v>
      </c>
      <c r="E153">
        <v>3022.19</v>
      </c>
    </row>
    <row r="154" spans="1:5" x14ac:dyDescent="0.3">
      <c r="A154" s="1" t="s">
        <v>167</v>
      </c>
      <c r="B154">
        <v>3023.41</v>
      </c>
      <c r="C154">
        <v>3032.16</v>
      </c>
      <c r="D154">
        <v>2984.97</v>
      </c>
      <c r="E154">
        <v>2994.43</v>
      </c>
    </row>
    <row r="155" spans="1:5" x14ac:dyDescent="0.3">
      <c r="A155" s="1" t="s">
        <v>168</v>
      </c>
      <c r="B155">
        <v>3010.16</v>
      </c>
      <c r="C155">
        <v>3024.23</v>
      </c>
      <c r="D155">
        <v>2990.85</v>
      </c>
      <c r="E155">
        <v>3014.18</v>
      </c>
    </row>
    <row r="156" spans="1:5" x14ac:dyDescent="0.3">
      <c r="A156" s="1" t="s">
        <v>169</v>
      </c>
      <c r="B156">
        <v>3015.01</v>
      </c>
      <c r="C156">
        <v>3028.13</v>
      </c>
      <c r="D156">
        <v>2971.09</v>
      </c>
      <c r="E156">
        <v>2997.03</v>
      </c>
    </row>
    <row r="157" spans="1:5" x14ac:dyDescent="0.3">
      <c r="A157" s="1" t="s">
        <v>170</v>
      </c>
      <c r="B157">
        <v>2974.43</v>
      </c>
      <c r="C157">
        <v>2974.43</v>
      </c>
      <c r="D157">
        <v>2926.17</v>
      </c>
      <c r="E157">
        <v>2949.71</v>
      </c>
    </row>
    <row r="158" spans="1:5" x14ac:dyDescent="0.3">
      <c r="A158" s="1" t="s">
        <v>171</v>
      </c>
      <c r="B158">
        <v>2953.14</v>
      </c>
      <c r="C158">
        <v>2965.88</v>
      </c>
      <c r="D158">
        <v>2923.24</v>
      </c>
      <c r="E158">
        <v>2962.09</v>
      </c>
    </row>
    <row r="159" spans="1:5" x14ac:dyDescent="0.3">
      <c r="A159" s="1" t="s">
        <v>172</v>
      </c>
      <c r="B159">
        <v>2967.48</v>
      </c>
      <c r="C159">
        <v>3005.67</v>
      </c>
      <c r="D159">
        <v>2948.48</v>
      </c>
      <c r="E159">
        <v>2993.07</v>
      </c>
    </row>
    <row r="160" spans="1:5" x14ac:dyDescent="0.3">
      <c r="A160" s="1" t="s">
        <v>173</v>
      </c>
      <c r="B160">
        <v>2976.26</v>
      </c>
      <c r="C160">
        <v>2998.96</v>
      </c>
      <c r="D160">
        <v>2951.8</v>
      </c>
      <c r="E160">
        <v>2982.29</v>
      </c>
    </row>
    <row r="161" spans="1:5" x14ac:dyDescent="0.3">
      <c r="A161" s="1" t="s">
        <v>174</v>
      </c>
      <c r="B161">
        <v>2990.57</v>
      </c>
      <c r="C161">
        <v>3022.46</v>
      </c>
      <c r="D161">
        <v>2970.96</v>
      </c>
      <c r="E161">
        <v>3020.22</v>
      </c>
    </row>
    <row r="162" spans="1:5" x14ac:dyDescent="0.3">
      <c r="A162" s="1" t="s">
        <v>175</v>
      </c>
      <c r="B162">
        <v>2988.94</v>
      </c>
      <c r="C162">
        <v>2993.06</v>
      </c>
      <c r="D162">
        <v>2870.12</v>
      </c>
      <c r="E162">
        <v>2880.55</v>
      </c>
    </row>
    <row r="163" spans="1:5" x14ac:dyDescent="0.3">
      <c r="A163" s="1" t="s">
        <v>176</v>
      </c>
      <c r="B163">
        <v>2896.6</v>
      </c>
      <c r="C163">
        <v>2919.49</v>
      </c>
      <c r="D163">
        <v>2886.85</v>
      </c>
      <c r="E163">
        <v>2905.64</v>
      </c>
    </row>
    <row r="164" spans="1:5" x14ac:dyDescent="0.3">
      <c r="A164" s="1" t="s">
        <v>177</v>
      </c>
      <c r="B164">
        <v>2896.26</v>
      </c>
      <c r="C164">
        <v>2920.94</v>
      </c>
      <c r="D164">
        <v>2865.05</v>
      </c>
      <c r="E164">
        <v>2907.53</v>
      </c>
    </row>
    <row r="165" spans="1:5" x14ac:dyDescent="0.3">
      <c r="A165" s="1" t="s">
        <v>178</v>
      </c>
      <c r="B165">
        <v>2915.79</v>
      </c>
      <c r="C165">
        <v>2924.24</v>
      </c>
      <c r="D165">
        <v>2850.34</v>
      </c>
      <c r="E165">
        <v>2856.56</v>
      </c>
    </row>
    <row r="166" spans="1:5" x14ac:dyDescent="0.3">
      <c r="A166" s="1" t="s">
        <v>179</v>
      </c>
      <c r="B166">
        <v>2867.65</v>
      </c>
      <c r="C166">
        <v>2879.78</v>
      </c>
      <c r="D166">
        <v>2828.32</v>
      </c>
      <c r="E166">
        <v>2828.32</v>
      </c>
    </row>
    <row r="167" spans="1:5" x14ac:dyDescent="0.3">
      <c r="A167" s="1" t="s">
        <v>180</v>
      </c>
      <c r="B167">
        <v>2834.16</v>
      </c>
      <c r="C167">
        <v>2836.04</v>
      </c>
      <c r="D167">
        <v>2789.65</v>
      </c>
      <c r="E167">
        <v>2793.76</v>
      </c>
    </row>
    <row r="168" spans="1:5" x14ac:dyDescent="0.3">
      <c r="A168" s="1" t="s">
        <v>181</v>
      </c>
      <c r="B168">
        <v>2804.98</v>
      </c>
      <c r="C168">
        <v>2829.71</v>
      </c>
      <c r="D168">
        <v>2744.94</v>
      </c>
      <c r="E168">
        <v>2770.36</v>
      </c>
    </row>
    <row r="169" spans="1:5" x14ac:dyDescent="0.3">
      <c r="A169" s="1" t="s">
        <v>182</v>
      </c>
      <c r="B169">
        <v>2776.45</v>
      </c>
      <c r="C169">
        <v>2781.27</v>
      </c>
      <c r="D169">
        <v>2725.91</v>
      </c>
      <c r="E169">
        <v>2774.05</v>
      </c>
    </row>
    <row r="170" spans="1:5" x14ac:dyDescent="0.3">
      <c r="A170" s="1" t="s">
        <v>183</v>
      </c>
      <c r="B170">
        <v>2787.78</v>
      </c>
      <c r="C170">
        <v>2809.49</v>
      </c>
      <c r="D170">
        <v>2769.94</v>
      </c>
      <c r="E170">
        <v>2786.15</v>
      </c>
    </row>
    <row r="171" spans="1:5" x14ac:dyDescent="0.3">
      <c r="A171" s="1" t="s">
        <v>184</v>
      </c>
      <c r="B171">
        <v>2785.56</v>
      </c>
      <c r="C171">
        <v>2834.41</v>
      </c>
      <c r="D171">
        <v>2760.33</v>
      </c>
      <c r="E171">
        <v>2828.22</v>
      </c>
    </row>
    <row r="172" spans="1:5" x14ac:dyDescent="0.3">
      <c r="A172" s="1" t="s">
        <v>185</v>
      </c>
      <c r="B172">
        <v>2844.1</v>
      </c>
      <c r="C172">
        <v>2857.64</v>
      </c>
      <c r="D172">
        <v>2804.63</v>
      </c>
      <c r="E172">
        <v>2805.02</v>
      </c>
    </row>
    <row r="173" spans="1:5" x14ac:dyDescent="0.3">
      <c r="A173" s="1" t="s">
        <v>186</v>
      </c>
      <c r="B173">
        <v>2821.04</v>
      </c>
      <c r="C173">
        <v>2862.87</v>
      </c>
      <c r="D173">
        <v>2821.04</v>
      </c>
      <c r="E173">
        <v>2862.51</v>
      </c>
    </row>
    <row r="174" spans="1:5" x14ac:dyDescent="0.3">
      <c r="A174" s="1" t="s">
        <v>187</v>
      </c>
      <c r="B174">
        <v>2865.23</v>
      </c>
      <c r="C174">
        <v>2867.64</v>
      </c>
      <c r="D174">
        <v>2824.68</v>
      </c>
      <c r="E174">
        <v>2836.41</v>
      </c>
    </row>
    <row r="175" spans="1:5" x14ac:dyDescent="0.3">
      <c r="A175" s="1" t="s">
        <v>188</v>
      </c>
      <c r="B175">
        <v>2818.16</v>
      </c>
      <c r="C175">
        <v>2825.73</v>
      </c>
      <c r="D175">
        <v>2762.25</v>
      </c>
      <c r="E175">
        <v>2811.48</v>
      </c>
    </row>
    <row r="176" spans="1:5" x14ac:dyDescent="0.3">
      <c r="A176" s="1" t="s">
        <v>189</v>
      </c>
      <c r="B176">
        <v>2815.78</v>
      </c>
      <c r="C176">
        <v>2864.74</v>
      </c>
      <c r="D176">
        <v>2814.51</v>
      </c>
      <c r="E176">
        <v>2855.75</v>
      </c>
    </row>
    <row r="177" spans="1:5" x14ac:dyDescent="0.3">
      <c r="A177" s="1" t="s">
        <v>190</v>
      </c>
      <c r="B177">
        <v>2864.12</v>
      </c>
      <c r="C177">
        <v>2869.64</v>
      </c>
      <c r="D177">
        <v>2833.86</v>
      </c>
      <c r="E177">
        <v>2836.58</v>
      </c>
    </row>
    <row r="178" spans="1:5" x14ac:dyDescent="0.3">
      <c r="A178" s="1" t="s">
        <v>191</v>
      </c>
      <c r="B178">
        <v>2851.57</v>
      </c>
      <c r="C178">
        <v>2866.16</v>
      </c>
      <c r="D178">
        <v>2841.3</v>
      </c>
      <c r="E178">
        <v>2866.16</v>
      </c>
    </row>
    <row r="179" spans="1:5" x14ac:dyDescent="0.3">
      <c r="A179" s="1" t="s">
        <v>192</v>
      </c>
      <c r="B179">
        <v>2876.55</v>
      </c>
      <c r="C179">
        <v>2876.55</v>
      </c>
      <c r="D179">
        <v>2815.78</v>
      </c>
      <c r="E179">
        <v>2819.54</v>
      </c>
    </row>
    <row r="180" spans="1:5" x14ac:dyDescent="0.3">
      <c r="A180" s="1" t="s">
        <v>193</v>
      </c>
      <c r="B180">
        <v>2832.89</v>
      </c>
      <c r="C180">
        <v>2832.89</v>
      </c>
      <c r="D180">
        <v>2801.47</v>
      </c>
      <c r="E180">
        <v>2813.42</v>
      </c>
    </row>
    <row r="181" spans="1:5" x14ac:dyDescent="0.3">
      <c r="A181" s="1" t="s">
        <v>194</v>
      </c>
      <c r="B181">
        <v>2819.81</v>
      </c>
      <c r="C181">
        <v>2830.79</v>
      </c>
      <c r="D181">
        <v>2806.55</v>
      </c>
      <c r="E181">
        <v>2809.46</v>
      </c>
    </row>
    <row r="182" spans="1:5" x14ac:dyDescent="0.3">
      <c r="A182" s="1" t="s">
        <v>195</v>
      </c>
      <c r="B182">
        <v>2819.48</v>
      </c>
      <c r="C182">
        <v>2819.48</v>
      </c>
      <c r="D182">
        <v>2790.03</v>
      </c>
      <c r="E182">
        <v>2802.69</v>
      </c>
    </row>
    <row r="183" spans="1:5" x14ac:dyDescent="0.3">
      <c r="A183" s="1" t="s">
        <v>196</v>
      </c>
      <c r="B183">
        <v>2801.37</v>
      </c>
      <c r="C183">
        <v>2805.11</v>
      </c>
      <c r="D183">
        <v>2775.01</v>
      </c>
      <c r="E183">
        <v>2802.03</v>
      </c>
    </row>
    <row r="184" spans="1:5" x14ac:dyDescent="0.3">
      <c r="A184" s="1" t="s">
        <v>197</v>
      </c>
      <c r="B184">
        <v>2817.41</v>
      </c>
      <c r="C184">
        <v>2830.89</v>
      </c>
      <c r="D184">
        <v>2810.28</v>
      </c>
      <c r="E184">
        <v>2819.1</v>
      </c>
    </row>
    <row r="185" spans="1:5" x14ac:dyDescent="0.3">
      <c r="A185" s="1" t="s">
        <v>198</v>
      </c>
      <c r="B185">
        <v>2802.52</v>
      </c>
      <c r="C185">
        <v>2829.39</v>
      </c>
      <c r="D185">
        <v>2773.28</v>
      </c>
      <c r="E185">
        <v>2828.82</v>
      </c>
    </row>
    <row r="186" spans="1:5" x14ac:dyDescent="0.3">
      <c r="A186" s="1" t="s">
        <v>199</v>
      </c>
      <c r="B186">
        <v>2826.28</v>
      </c>
      <c r="C186">
        <v>2826.28</v>
      </c>
      <c r="D186">
        <v>2788.42</v>
      </c>
      <c r="E186">
        <v>2797.79</v>
      </c>
    </row>
    <row r="187" spans="1:5" x14ac:dyDescent="0.3">
      <c r="A187" s="1" t="s">
        <v>200</v>
      </c>
      <c r="B187">
        <v>2792.34</v>
      </c>
      <c r="C187">
        <v>2832.26</v>
      </c>
      <c r="D187">
        <v>2783.39</v>
      </c>
      <c r="E187">
        <v>2832.26</v>
      </c>
    </row>
    <row r="188" spans="1:5" x14ac:dyDescent="0.3">
      <c r="A188" s="1" t="s">
        <v>201</v>
      </c>
      <c r="B188">
        <v>2845.46</v>
      </c>
      <c r="C188">
        <v>2847.53</v>
      </c>
      <c r="D188">
        <v>2817.46</v>
      </c>
      <c r="E188">
        <v>2832.01</v>
      </c>
    </row>
    <row r="189" spans="1:5" x14ac:dyDescent="0.3">
      <c r="A189" s="1" t="s">
        <v>202</v>
      </c>
      <c r="B189">
        <v>2822</v>
      </c>
      <c r="C189">
        <v>2828.33</v>
      </c>
      <c r="D189">
        <v>2803.19</v>
      </c>
      <c r="E189">
        <v>2827.17</v>
      </c>
    </row>
    <row r="190" spans="1:5" x14ac:dyDescent="0.3">
      <c r="A190" s="1" t="s">
        <v>203</v>
      </c>
      <c r="B190">
        <v>2809.65</v>
      </c>
      <c r="C190">
        <v>2855.51</v>
      </c>
      <c r="D190">
        <v>2809.65</v>
      </c>
      <c r="E190">
        <v>2850.42</v>
      </c>
    </row>
    <row r="191" spans="1:5" x14ac:dyDescent="0.3">
      <c r="A191" s="1" t="s">
        <v>204</v>
      </c>
      <c r="B191">
        <v>2858.31</v>
      </c>
      <c r="C191">
        <v>2896.04</v>
      </c>
      <c r="D191">
        <v>2857.65</v>
      </c>
      <c r="E191">
        <v>2861.62</v>
      </c>
    </row>
    <row r="192" spans="1:5" x14ac:dyDescent="0.3">
      <c r="A192" s="1" t="s">
        <v>205</v>
      </c>
      <c r="B192">
        <v>2881.03</v>
      </c>
      <c r="C192">
        <v>2891.98</v>
      </c>
      <c r="D192">
        <v>2848.82</v>
      </c>
      <c r="E192">
        <v>2862.96</v>
      </c>
    </row>
    <row r="193" spans="1:5" x14ac:dyDescent="0.3">
      <c r="A193" s="1" t="s">
        <v>206</v>
      </c>
      <c r="B193">
        <v>2860.54</v>
      </c>
      <c r="C193">
        <v>2877.34</v>
      </c>
      <c r="D193">
        <v>2836.01</v>
      </c>
      <c r="E193">
        <v>2838.1</v>
      </c>
    </row>
    <row r="194" spans="1:5" x14ac:dyDescent="0.3">
      <c r="A194" s="1" t="s">
        <v>207</v>
      </c>
      <c r="B194">
        <v>2847.17</v>
      </c>
      <c r="C194">
        <v>2877.5</v>
      </c>
      <c r="D194">
        <v>2826.65</v>
      </c>
      <c r="E194">
        <v>2868.67</v>
      </c>
    </row>
    <row r="195" spans="1:5" x14ac:dyDescent="0.3">
      <c r="A195" s="1" t="s">
        <v>208</v>
      </c>
      <c r="B195">
        <v>2861.53</v>
      </c>
      <c r="C195">
        <v>2889.48</v>
      </c>
      <c r="D195">
        <v>2850.21</v>
      </c>
      <c r="E195">
        <v>2877.99</v>
      </c>
    </row>
    <row r="196" spans="1:5" x14ac:dyDescent="0.3">
      <c r="A196" s="1" t="s">
        <v>209</v>
      </c>
      <c r="B196">
        <v>2884.95</v>
      </c>
      <c r="C196">
        <v>2895.09</v>
      </c>
      <c r="D196">
        <v>2869.13</v>
      </c>
      <c r="E196">
        <v>2874.3</v>
      </c>
    </row>
    <row r="197" spans="1:5" x14ac:dyDescent="0.3">
      <c r="A197" s="1" t="s">
        <v>210</v>
      </c>
      <c r="B197">
        <v>2859.8</v>
      </c>
      <c r="C197">
        <v>2885.36</v>
      </c>
      <c r="D197">
        <v>2846.45</v>
      </c>
      <c r="E197">
        <v>2873.04</v>
      </c>
    </row>
    <row r="198" spans="1:5" x14ac:dyDescent="0.3">
      <c r="A198" s="1" t="s">
        <v>211</v>
      </c>
      <c r="B198">
        <v>2847.31</v>
      </c>
      <c r="C198">
        <v>2878.13</v>
      </c>
      <c r="D198">
        <v>2841.95</v>
      </c>
      <c r="E198">
        <v>2875.17</v>
      </c>
    </row>
    <row r="199" spans="1:5" x14ac:dyDescent="0.3">
      <c r="A199" s="1" t="s">
        <v>212</v>
      </c>
      <c r="B199">
        <v>2850.38</v>
      </c>
      <c r="C199">
        <v>2850.38</v>
      </c>
      <c r="D199">
        <v>2809.34</v>
      </c>
      <c r="E199">
        <v>2844.05</v>
      </c>
    </row>
    <row r="200" spans="1:5" x14ac:dyDescent="0.3">
      <c r="A200" s="1" t="s">
        <v>213</v>
      </c>
      <c r="B200">
        <v>2866.16</v>
      </c>
      <c r="C200">
        <v>2909.02</v>
      </c>
      <c r="D200">
        <v>2859.8</v>
      </c>
      <c r="E200">
        <v>2901.08</v>
      </c>
    </row>
    <row r="201" spans="1:5" x14ac:dyDescent="0.3">
      <c r="A201" s="1" t="s">
        <v>214</v>
      </c>
      <c r="B201">
        <v>2910.85</v>
      </c>
      <c r="C201">
        <v>2911.58</v>
      </c>
      <c r="D201">
        <v>2876.67</v>
      </c>
      <c r="E201">
        <v>2887.16</v>
      </c>
    </row>
    <row r="202" spans="1:5" x14ac:dyDescent="0.3">
      <c r="A202" s="1" t="s">
        <v>215</v>
      </c>
      <c r="B202">
        <v>2861.14</v>
      </c>
      <c r="C202">
        <v>2878.98</v>
      </c>
      <c r="D202">
        <v>2817.25</v>
      </c>
      <c r="E202">
        <v>2872.02</v>
      </c>
    </row>
    <row r="203" spans="1:5" x14ac:dyDescent="0.3">
      <c r="A203" s="1" t="s">
        <v>216</v>
      </c>
      <c r="B203">
        <v>2891.65</v>
      </c>
      <c r="C203">
        <v>2920.76</v>
      </c>
      <c r="D203">
        <v>2891.65</v>
      </c>
      <c r="E203">
        <v>2916.61</v>
      </c>
    </row>
    <row r="204" spans="1:5" x14ac:dyDescent="0.3">
      <c r="A204" s="1" t="s">
        <v>217</v>
      </c>
      <c r="B204">
        <v>2919.93</v>
      </c>
      <c r="C204">
        <v>2934.01</v>
      </c>
      <c r="D204">
        <v>2904.76</v>
      </c>
      <c r="E204">
        <v>2912.05</v>
      </c>
    </row>
    <row r="205" spans="1:5" x14ac:dyDescent="0.3">
      <c r="A205" s="1" t="s">
        <v>218</v>
      </c>
      <c r="B205">
        <v>2921.48</v>
      </c>
      <c r="C205">
        <v>2967.35</v>
      </c>
      <c r="D205">
        <v>2913.5</v>
      </c>
      <c r="E205">
        <v>2958.78</v>
      </c>
    </row>
    <row r="206" spans="1:5" x14ac:dyDescent="0.3">
      <c r="A206" s="1" t="s">
        <v>219</v>
      </c>
      <c r="B206">
        <v>2957.63</v>
      </c>
      <c r="C206">
        <v>2993.7</v>
      </c>
      <c r="D206">
        <v>2948.24</v>
      </c>
      <c r="E206">
        <v>2984.67</v>
      </c>
    </row>
    <row r="207" spans="1:5" x14ac:dyDescent="0.3">
      <c r="A207" s="1" t="s">
        <v>220</v>
      </c>
      <c r="B207">
        <v>2994.18</v>
      </c>
      <c r="C207">
        <v>2999.29</v>
      </c>
      <c r="D207">
        <v>2974.5</v>
      </c>
      <c r="E207">
        <v>2981.19</v>
      </c>
    </row>
    <row r="208" spans="1:5" x14ac:dyDescent="0.3">
      <c r="A208" s="1" t="s">
        <v>221</v>
      </c>
      <c r="B208">
        <v>3005.17</v>
      </c>
      <c r="C208">
        <v>3014.08</v>
      </c>
      <c r="D208">
        <v>2973.46</v>
      </c>
      <c r="E208">
        <v>2980.91</v>
      </c>
    </row>
    <row r="209" spans="1:5" x14ac:dyDescent="0.3">
      <c r="A209" s="1" t="s">
        <v>222</v>
      </c>
      <c r="B209">
        <v>2988.89</v>
      </c>
      <c r="C209">
        <v>3046.47</v>
      </c>
      <c r="D209">
        <v>2984.02</v>
      </c>
      <c r="E209">
        <v>3041.52</v>
      </c>
    </row>
    <row r="210" spans="1:5" x14ac:dyDescent="0.3">
      <c r="A210" s="1" t="s">
        <v>223</v>
      </c>
      <c r="B210">
        <v>3052.18</v>
      </c>
      <c r="C210">
        <v>3060.11</v>
      </c>
      <c r="D210">
        <v>3015.43</v>
      </c>
      <c r="E210">
        <v>3038.56</v>
      </c>
    </row>
    <row r="211" spans="1:5" x14ac:dyDescent="0.3">
      <c r="A211" s="1" t="s">
        <v>224</v>
      </c>
      <c r="B211">
        <v>3037.34</v>
      </c>
      <c r="C211">
        <v>3046.5</v>
      </c>
      <c r="D211">
        <v>3016.36</v>
      </c>
      <c r="E211">
        <v>3029.29</v>
      </c>
    </row>
    <row r="212" spans="1:5" x14ac:dyDescent="0.3">
      <c r="A212" s="1" t="s">
        <v>225</v>
      </c>
      <c r="B212">
        <v>3031.99</v>
      </c>
      <c r="C212">
        <v>3036.46</v>
      </c>
      <c r="D212">
        <v>2987.33</v>
      </c>
      <c r="E212">
        <v>2987.33</v>
      </c>
    </row>
    <row r="213" spans="1:5" x14ac:dyDescent="0.3">
      <c r="A213" s="1" t="s">
        <v>226</v>
      </c>
      <c r="B213">
        <v>3001.78</v>
      </c>
      <c r="C213">
        <v>3022.5</v>
      </c>
      <c r="D213">
        <v>2995.35</v>
      </c>
      <c r="E213">
        <v>3005.61</v>
      </c>
    </row>
    <row r="214" spans="1:5" x14ac:dyDescent="0.3">
      <c r="A214" s="1" t="s">
        <v>227</v>
      </c>
      <c r="B214">
        <v>2981.82</v>
      </c>
      <c r="C214">
        <v>2984.46</v>
      </c>
      <c r="D214">
        <v>2962.52</v>
      </c>
      <c r="E214">
        <v>2978.38</v>
      </c>
    </row>
    <row r="215" spans="1:5" x14ac:dyDescent="0.3">
      <c r="A215" s="1" t="s">
        <v>228</v>
      </c>
      <c r="B215">
        <v>2968.95</v>
      </c>
      <c r="C215">
        <v>2989.55</v>
      </c>
      <c r="D215">
        <v>2957.11</v>
      </c>
      <c r="E215">
        <v>2977.25</v>
      </c>
    </row>
    <row r="216" spans="1:5" x14ac:dyDescent="0.3">
      <c r="A216" s="1" t="s">
        <v>229</v>
      </c>
      <c r="B216">
        <v>2993.62</v>
      </c>
      <c r="C216">
        <v>3044.56</v>
      </c>
      <c r="D216">
        <v>2984.54</v>
      </c>
      <c r="E216">
        <v>3006.58</v>
      </c>
    </row>
    <row r="217" spans="1:5" x14ac:dyDescent="0.3">
      <c r="A217" s="1" t="s">
        <v>230</v>
      </c>
      <c r="B217">
        <v>3017.03</v>
      </c>
      <c r="C217">
        <v>3018.84</v>
      </c>
      <c r="D217">
        <v>2958.3</v>
      </c>
      <c r="E217">
        <v>2970.61</v>
      </c>
    </row>
    <row r="218" spans="1:5" x14ac:dyDescent="0.3">
      <c r="A218" s="1" t="s">
        <v>231</v>
      </c>
      <c r="B218">
        <v>3009.83</v>
      </c>
      <c r="C218">
        <v>3029.68</v>
      </c>
      <c r="D218">
        <v>3000.01</v>
      </c>
      <c r="E218">
        <v>3019.29</v>
      </c>
    </row>
    <row r="219" spans="1:5" x14ac:dyDescent="0.3">
      <c r="A219" s="1" t="s">
        <v>232</v>
      </c>
      <c r="B219">
        <v>3032.7</v>
      </c>
      <c r="C219">
        <v>3056.61</v>
      </c>
      <c r="D219">
        <v>3015.36</v>
      </c>
      <c r="E219">
        <v>3023.24</v>
      </c>
    </row>
    <row r="220" spans="1:5" x14ac:dyDescent="0.3">
      <c r="A220" s="1" t="s">
        <v>233</v>
      </c>
      <c r="B220">
        <v>3029.74</v>
      </c>
      <c r="C220">
        <v>3066.72</v>
      </c>
      <c r="D220">
        <v>3016.16</v>
      </c>
      <c r="E220">
        <v>3016.16</v>
      </c>
    </row>
    <row r="221" spans="1:5" x14ac:dyDescent="0.3">
      <c r="A221" s="1" t="s">
        <v>234</v>
      </c>
      <c r="B221">
        <v>2987.38</v>
      </c>
      <c r="C221">
        <v>2996.89</v>
      </c>
      <c r="D221">
        <v>2957.32</v>
      </c>
      <c r="E221">
        <v>2990.37</v>
      </c>
    </row>
    <row r="222" spans="1:5" x14ac:dyDescent="0.3">
      <c r="A222" s="1" t="s">
        <v>235</v>
      </c>
      <c r="B222">
        <v>2998.44</v>
      </c>
      <c r="C222">
        <v>3002.36</v>
      </c>
      <c r="D222">
        <v>2948.52</v>
      </c>
      <c r="E222">
        <v>2956.16</v>
      </c>
    </row>
    <row r="223" spans="1:5" x14ac:dyDescent="0.3">
      <c r="A223" s="1" t="s">
        <v>236</v>
      </c>
      <c r="B223">
        <v>2922.79</v>
      </c>
      <c r="C223">
        <v>2930.32</v>
      </c>
      <c r="D223">
        <v>2885.01</v>
      </c>
      <c r="E223">
        <v>2903.1</v>
      </c>
    </row>
    <row r="224" spans="1:5" x14ac:dyDescent="0.3">
      <c r="A224" s="1" t="s">
        <v>237</v>
      </c>
      <c r="B224">
        <v>2910.29</v>
      </c>
      <c r="C224">
        <v>2962.14</v>
      </c>
      <c r="D224">
        <v>2896.21</v>
      </c>
      <c r="E224">
        <v>2956.75</v>
      </c>
    </row>
    <row r="225" spans="1:5" x14ac:dyDescent="0.3">
      <c r="A225" s="1" t="s">
        <v>238</v>
      </c>
      <c r="B225">
        <v>2987.73</v>
      </c>
      <c r="C225">
        <v>2991.05</v>
      </c>
      <c r="D225">
        <v>2948.01</v>
      </c>
      <c r="E225">
        <v>2958.02</v>
      </c>
    </row>
    <row r="226" spans="1:5" x14ac:dyDescent="0.3">
      <c r="A226" s="1" t="s">
        <v>239</v>
      </c>
      <c r="B226">
        <v>2910.33</v>
      </c>
      <c r="C226">
        <v>2931.72</v>
      </c>
      <c r="D226">
        <v>2886.73</v>
      </c>
      <c r="E226">
        <v>2921.08</v>
      </c>
    </row>
    <row r="227" spans="1:5" x14ac:dyDescent="0.3">
      <c r="A227" s="1" t="s">
        <v>240</v>
      </c>
      <c r="B227">
        <v>2942.14</v>
      </c>
      <c r="C227">
        <v>2944.29</v>
      </c>
      <c r="D227">
        <v>2892.29</v>
      </c>
      <c r="E227">
        <v>2924.11</v>
      </c>
    </row>
    <row r="228" spans="1:5" x14ac:dyDescent="0.3">
      <c r="A228" s="1" t="s">
        <v>241</v>
      </c>
      <c r="B228">
        <v>2936.71</v>
      </c>
      <c r="C228">
        <v>2976.58</v>
      </c>
      <c r="D228">
        <v>2922.65</v>
      </c>
      <c r="E228">
        <v>2966.9</v>
      </c>
    </row>
    <row r="229" spans="1:5" x14ac:dyDescent="0.3">
      <c r="A229" s="1" t="s">
        <v>242</v>
      </c>
      <c r="B229">
        <v>2977.65</v>
      </c>
      <c r="C229">
        <v>3003.61</v>
      </c>
      <c r="D229">
        <v>2959.58</v>
      </c>
      <c r="E229">
        <v>3003.61</v>
      </c>
    </row>
    <row r="230" spans="1:5" x14ac:dyDescent="0.3">
      <c r="A230" s="1" t="s">
        <v>243</v>
      </c>
      <c r="B230">
        <v>3005.4</v>
      </c>
      <c r="C230">
        <v>3007.52</v>
      </c>
      <c r="D230">
        <v>2986.03</v>
      </c>
      <c r="E230">
        <v>2992.78</v>
      </c>
    </row>
    <row r="231" spans="1:5" x14ac:dyDescent="0.3">
      <c r="A231" s="1" t="s">
        <v>244</v>
      </c>
      <c r="B231">
        <v>2984.97</v>
      </c>
      <c r="C231">
        <v>3008.87</v>
      </c>
      <c r="D231">
        <v>2970.35</v>
      </c>
      <c r="E231">
        <v>3001.96</v>
      </c>
    </row>
    <row r="232" spans="1:5" x14ac:dyDescent="0.3">
      <c r="A232" s="1" t="s">
        <v>245</v>
      </c>
      <c r="B232">
        <v>2996.76</v>
      </c>
      <c r="C232">
        <v>3023.47</v>
      </c>
      <c r="D232">
        <v>2992.75</v>
      </c>
      <c r="E232">
        <v>3007.41</v>
      </c>
    </row>
    <row r="233" spans="1:5" x14ac:dyDescent="0.3">
      <c r="A233" s="1" t="s">
        <v>246</v>
      </c>
      <c r="B233">
        <v>2993.77</v>
      </c>
      <c r="C233">
        <v>2993.77</v>
      </c>
      <c r="D233">
        <v>2954.86</v>
      </c>
      <c r="E233">
        <v>2967.35</v>
      </c>
    </row>
    <row r="234" spans="1:5" x14ac:dyDescent="0.3">
      <c r="A234" s="1" t="s">
        <v>247</v>
      </c>
      <c r="B234">
        <v>2976.86</v>
      </c>
      <c r="C234">
        <v>2979.79</v>
      </c>
      <c r="D234">
        <v>2935.85</v>
      </c>
      <c r="E234">
        <v>2945.82</v>
      </c>
    </row>
    <row r="235" spans="1:5" x14ac:dyDescent="0.3">
      <c r="A235" s="1" t="s">
        <v>248</v>
      </c>
      <c r="B235">
        <v>2957.08</v>
      </c>
      <c r="C235">
        <v>2968.19</v>
      </c>
      <c r="D235">
        <v>2944.86</v>
      </c>
      <c r="E235">
        <v>2959.44</v>
      </c>
    </row>
    <row r="236" spans="1:5" x14ac:dyDescent="0.3">
      <c r="A236" s="1" t="s">
        <v>249</v>
      </c>
      <c r="B236">
        <v>2971.21</v>
      </c>
      <c r="C236">
        <v>2976.9</v>
      </c>
      <c r="D236">
        <v>2940.57</v>
      </c>
      <c r="E236">
        <v>2950.3</v>
      </c>
    </row>
    <row r="237" spans="1:5" x14ac:dyDescent="0.3">
      <c r="A237" s="1" t="s">
        <v>250</v>
      </c>
      <c r="B237">
        <v>2962.74</v>
      </c>
      <c r="C237">
        <v>2967.78</v>
      </c>
      <c r="D237">
        <v>2948.21</v>
      </c>
      <c r="E237">
        <v>2954</v>
      </c>
    </row>
    <row r="238" spans="1:5" x14ac:dyDescent="0.3">
      <c r="A238" s="1" t="s">
        <v>251</v>
      </c>
      <c r="B238">
        <v>2954.67</v>
      </c>
      <c r="C238">
        <v>3010.66</v>
      </c>
      <c r="D238">
        <v>2947.11</v>
      </c>
      <c r="E238">
        <v>3010.46</v>
      </c>
    </row>
    <row r="239" spans="1:5" x14ac:dyDescent="0.3">
      <c r="A239" s="1" t="s">
        <v>252</v>
      </c>
      <c r="B239">
        <v>3000.82</v>
      </c>
      <c r="C239">
        <v>3023.08</v>
      </c>
      <c r="D239">
        <v>2994.32</v>
      </c>
      <c r="E239">
        <v>3021.37</v>
      </c>
    </row>
    <row r="240" spans="1:5" x14ac:dyDescent="0.3">
      <c r="A240" s="1" t="s">
        <v>253</v>
      </c>
      <c r="B240">
        <v>3014.67</v>
      </c>
      <c r="C240">
        <v>3067.39</v>
      </c>
      <c r="D240">
        <v>3006.04</v>
      </c>
      <c r="E240">
        <v>3062</v>
      </c>
    </row>
    <row r="241" spans="1:5" x14ac:dyDescent="0.3">
      <c r="A241" s="1" t="s">
        <v>254</v>
      </c>
      <c r="B241">
        <v>3071.68</v>
      </c>
      <c r="C241">
        <v>3099.35</v>
      </c>
      <c r="D241">
        <v>3068.42</v>
      </c>
      <c r="E241">
        <v>3079.15</v>
      </c>
    </row>
    <row r="242" spans="1:5" x14ac:dyDescent="0.3">
      <c r="A242" s="1" t="s">
        <v>255</v>
      </c>
      <c r="B242">
        <v>3070.82</v>
      </c>
      <c r="C242">
        <v>3145.56</v>
      </c>
      <c r="D242">
        <v>3069.18</v>
      </c>
      <c r="E242">
        <v>3137.07</v>
      </c>
    </row>
    <row r="243" spans="1:5" x14ac:dyDescent="0.3">
      <c r="A243" s="1" t="s">
        <v>256</v>
      </c>
      <c r="B243">
        <v>3116.38</v>
      </c>
      <c r="C243">
        <v>3126.28</v>
      </c>
      <c r="D243">
        <v>3098.66</v>
      </c>
      <c r="E243">
        <v>3103.28</v>
      </c>
    </row>
    <row r="244" spans="1:5" x14ac:dyDescent="0.3">
      <c r="A244" s="1" t="s">
        <v>257</v>
      </c>
      <c r="B244">
        <v>3112.08</v>
      </c>
      <c r="C244">
        <v>3119.27</v>
      </c>
      <c r="D244">
        <v>3091.75</v>
      </c>
      <c r="E244">
        <v>3105.78</v>
      </c>
    </row>
    <row r="245" spans="1:5" x14ac:dyDescent="0.3">
      <c r="A245" s="1" t="s">
        <v>258</v>
      </c>
      <c r="B245">
        <v>3104.32</v>
      </c>
      <c r="C245">
        <v>3115.36</v>
      </c>
      <c r="D245">
        <v>3076.9</v>
      </c>
      <c r="E245">
        <v>3115.36</v>
      </c>
    </row>
    <row r="246" spans="1:5" x14ac:dyDescent="0.3">
      <c r="A246" s="1" t="s">
        <v>259</v>
      </c>
      <c r="B246">
        <v>3113.49</v>
      </c>
      <c r="C246">
        <v>3154.78</v>
      </c>
      <c r="D246">
        <v>3110.45</v>
      </c>
      <c r="E246">
        <v>3146.48</v>
      </c>
    </row>
    <row r="247" spans="1:5" x14ac:dyDescent="0.3">
      <c r="A247" s="1" t="s">
        <v>260</v>
      </c>
      <c r="B247">
        <v>3152.67</v>
      </c>
      <c r="C247">
        <v>3180.38</v>
      </c>
      <c r="D247">
        <v>3147.67</v>
      </c>
      <c r="E247">
        <v>3173.51</v>
      </c>
    </row>
    <row r="248" spans="1:5" x14ac:dyDescent="0.3">
      <c r="A248" s="1" t="s">
        <v>261</v>
      </c>
      <c r="B248">
        <v>3176.72</v>
      </c>
      <c r="C248">
        <v>3186.27</v>
      </c>
      <c r="D248">
        <v>3144.84</v>
      </c>
      <c r="E248">
        <v>3155.57</v>
      </c>
    </row>
    <row r="249" spans="1:5" x14ac:dyDescent="0.3">
      <c r="A249" s="1" t="s">
        <v>262</v>
      </c>
      <c r="B249">
        <v>3161.77</v>
      </c>
      <c r="C249">
        <v>3166.5</v>
      </c>
      <c r="D249">
        <v>3145.78</v>
      </c>
      <c r="E249">
        <v>3164.93</v>
      </c>
    </row>
    <row r="250" spans="1:5" x14ac:dyDescent="0.3">
      <c r="A250" s="1" t="s">
        <v>263</v>
      </c>
      <c r="B250">
        <v>3168.56</v>
      </c>
      <c r="C250">
        <v>3204.09</v>
      </c>
      <c r="D250">
        <v>3167.35</v>
      </c>
      <c r="E250">
        <v>3184.02</v>
      </c>
    </row>
    <row r="251" spans="1:5" x14ac:dyDescent="0.3">
      <c r="A251" s="1" t="s">
        <v>264</v>
      </c>
      <c r="B251">
        <v>3204.89</v>
      </c>
      <c r="C251">
        <v>3268.66</v>
      </c>
      <c r="D251">
        <v>3198.96</v>
      </c>
      <c r="E251">
        <v>3262.48</v>
      </c>
    </row>
    <row r="252" spans="1:5" x14ac:dyDescent="0.3">
      <c r="A252" s="1" t="s">
        <v>265</v>
      </c>
      <c r="B252">
        <v>3270.32</v>
      </c>
      <c r="C252">
        <v>3278.2</v>
      </c>
      <c r="D252">
        <v>3246.37</v>
      </c>
      <c r="E252">
        <v>3258.52</v>
      </c>
    </row>
    <row r="253" spans="1:5" x14ac:dyDescent="0.3">
      <c r="A253" s="1" t="s">
        <v>266</v>
      </c>
      <c r="B253">
        <v>3280.22</v>
      </c>
      <c r="C253">
        <v>3312.1</v>
      </c>
      <c r="D253">
        <v>3276.36</v>
      </c>
      <c r="E253">
        <v>3312.1</v>
      </c>
    </row>
    <row r="254" spans="1:5" x14ac:dyDescent="0.3">
      <c r="A254" s="1" t="s">
        <v>267</v>
      </c>
      <c r="B254">
        <v>3284.74</v>
      </c>
      <c r="C254">
        <v>3284.74</v>
      </c>
      <c r="D254">
        <v>3212.43</v>
      </c>
      <c r="E254">
        <v>3233.92</v>
      </c>
    </row>
    <row r="255" spans="1:5" x14ac:dyDescent="0.3">
      <c r="A255" s="1" t="s">
        <v>268</v>
      </c>
      <c r="B255">
        <v>3241.44</v>
      </c>
      <c r="C255">
        <v>3275.88</v>
      </c>
      <c r="D255">
        <v>3209.57</v>
      </c>
      <c r="E255">
        <v>3275.88</v>
      </c>
    </row>
    <row r="256" spans="1:5" x14ac:dyDescent="0.3">
      <c r="A256" s="1" t="s">
        <v>269</v>
      </c>
      <c r="B256">
        <v>3279.52</v>
      </c>
      <c r="C256">
        <v>3292.06</v>
      </c>
      <c r="D256">
        <v>3259.19</v>
      </c>
      <c r="E256">
        <v>3292.06</v>
      </c>
    </row>
    <row r="257" spans="1:5" x14ac:dyDescent="0.3">
      <c r="A257" s="1" t="s">
        <v>270</v>
      </c>
      <c r="B257">
        <v>3303.63</v>
      </c>
      <c r="C257">
        <v>3303.63</v>
      </c>
      <c r="D257">
        <v>3259.98</v>
      </c>
      <c r="E257">
        <v>3280.95</v>
      </c>
    </row>
    <row r="258" spans="1:5" x14ac:dyDescent="0.3">
      <c r="A258" s="1" t="s">
        <v>271</v>
      </c>
      <c r="B258">
        <v>3284.9</v>
      </c>
      <c r="C258">
        <v>3284.9</v>
      </c>
      <c r="D258">
        <v>3228.18</v>
      </c>
      <c r="E258">
        <v>3268.94</v>
      </c>
    </row>
    <row r="259" spans="1:5" x14ac:dyDescent="0.3">
      <c r="A259" s="1" t="s">
        <v>272</v>
      </c>
      <c r="B259">
        <v>3273.36</v>
      </c>
      <c r="C259">
        <v>3306.4</v>
      </c>
      <c r="D259">
        <v>3266.15</v>
      </c>
      <c r="E259">
        <v>3306.4</v>
      </c>
    </row>
    <row r="260" spans="1:5" x14ac:dyDescent="0.3">
      <c r="A260" s="1" t="s">
        <v>273</v>
      </c>
      <c r="B260">
        <v>3292.81</v>
      </c>
      <c r="C260">
        <v>3313.57</v>
      </c>
      <c r="D260">
        <v>3270.58</v>
      </c>
      <c r="E260">
        <v>3283.42</v>
      </c>
    </row>
    <row r="261" spans="1:5" x14ac:dyDescent="0.3">
      <c r="A261" s="1" t="s">
        <v>274</v>
      </c>
      <c r="B261">
        <v>3269.45</v>
      </c>
      <c r="C261">
        <v>3284.03</v>
      </c>
      <c r="D261">
        <v>3249.49</v>
      </c>
      <c r="E261">
        <v>3267.1</v>
      </c>
    </row>
    <row r="262" spans="1:5" x14ac:dyDescent="0.3">
      <c r="A262" s="1" t="s">
        <v>275</v>
      </c>
      <c r="B262">
        <v>3261.45</v>
      </c>
      <c r="C262">
        <v>3268.45</v>
      </c>
      <c r="D262">
        <v>3215.54</v>
      </c>
      <c r="E262">
        <v>3268.45</v>
      </c>
    </row>
    <row r="263" spans="1:5" x14ac:dyDescent="0.3">
      <c r="A263" s="1" t="s">
        <v>276</v>
      </c>
      <c r="B263">
        <v>3266.51</v>
      </c>
      <c r="C263">
        <v>3275.81</v>
      </c>
      <c r="D263">
        <v>3221.72</v>
      </c>
      <c r="E263">
        <v>3262.89</v>
      </c>
    </row>
    <row r="264" spans="1:5" x14ac:dyDescent="0.3">
      <c r="A264" s="1" t="s">
        <v>277</v>
      </c>
      <c r="B264">
        <v>3283.01</v>
      </c>
      <c r="C264">
        <v>3341.95</v>
      </c>
      <c r="D264">
        <v>3283.01</v>
      </c>
      <c r="E264">
        <v>3341.95</v>
      </c>
    </row>
    <row r="265" spans="1:5" x14ac:dyDescent="0.3">
      <c r="A265" s="1" t="s">
        <v>278</v>
      </c>
      <c r="B265">
        <v>3338.78</v>
      </c>
      <c r="C265">
        <v>3338.78</v>
      </c>
      <c r="D265">
        <v>3294.01</v>
      </c>
      <c r="E265">
        <v>3299.55</v>
      </c>
    </row>
    <row r="266" spans="1:5" x14ac:dyDescent="0.3">
      <c r="A266" s="1" t="s">
        <v>279</v>
      </c>
      <c r="B266">
        <v>3312.89</v>
      </c>
      <c r="C266">
        <v>3360.99</v>
      </c>
      <c r="D266">
        <v>3297.49</v>
      </c>
      <c r="E266">
        <v>3356.01</v>
      </c>
    </row>
    <row r="267" spans="1:5" x14ac:dyDescent="0.3">
      <c r="A267" s="1" t="s">
        <v>280</v>
      </c>
      <c r="B267">
        <v>3351.21</v>
      </c>
      <c r="C267">
        <v>3391.79</v>
      </c>
      <c r="D267">
        <v>3345.59</v>
      </c>
      <c r="E267">
        <v>3365.46</v>
      </c>
    </row>
    <row r="268" spans="1:5" x14ac:dyDescent="0.3">
      <c r="A268" s="1" t="s">
        <v>281</v>
      </c>
      <c r="B268">
        <v>3385.93</v>
      </c>
      <c r="C268">
        <v>3399.88</v>
      </c>
      <c r="D268">
        <v>3356.98</v>
      </c>
      <c r="E268">
        <v>3393.31</v>
      </c>
    </row>
    <row r="269" spans="1:5" x14ac:dyDescent="0.3">
      <c r="A269" s="1" t="s">
        <v>282</v>
      </c>
      <c r="B269">
        <v>3404.35</v>
      </c>
      <c r="C269">
        <v>3455.14</v>
      </c>
      <c r="D269">
        <v>3379.88</v>
      </c>
      <c r="E269">
        <v>3381.38</v>
      </c>
    </row>
    <row r="270" spans="1:5" x14ac:dyDescent="0.3">
      <c r="A270" s="1" t="s">
        <v>283</v>
      </c>
      <c r="B270">
        <v>3372.38</v>
      </c>
      <c r="C270">
        <v>3399.28</v>
      </c>
      <c r="D270">
        <v>3347.45</v>
      </c>
      <c r="E270">
        <v>3360.09</v>
      </c>
    </row>
    <row r="271" spans="1:5" x14ac:dyDescent="0.3">
      <c r="A271" s="1" t="s">
        <v>284</v>
      </c>
      <c r="B271">
        <v>3323.46</v>
      </c>
      <c r="C271">
        <v>3370.27</v>
      </c>
      <c r="D271">
        <v>3264.05</v>
      </c>
      <c r="E271">
        <v>3364.04</v>
      </c>
    </row>
    <row r="272" spans="1:5" x14ac:dyDescent="0.3">
      <c r="A272" s="1" t="s">
        <v>285</v>
      </c>
      <c r="B272">
        <v>3419.43</v>
      </c>
      <c r="C272">
        <v>3441.06</v>
      </c>
      <c r="D272">
        <v>3387.06</v>
      </c>
      <c r="E272">
        <v>3441.06</v>
      </c>
    </row>
    <row r="273" spans="1:5" x14ac:dyDescent="0.3">
      <c r="A273" s="1" t="s">
        <v>286</v>
      </c>
      <c r="B273">
        <v>3451.92</v>
      </c>
      <c r="C273">
        <v>3474.09</v>
      </c>
      <c r="D273">
        <v>3435.81</v>
      </c>
      <c r="E273">
        <v>3457.14</v>
      </c>
    </row>
    <row r="274" spans="1:5" x14ac:dyDescent="0.3">
      <c r="A274" s="1" t="s">
        <v>287</v>
      </c>
      <c r="B274">
        <v>3418.74</v>
      </c>
      <c r="C274">
        <v>3450.44</v>
      </c>
      <c r="D274">
        <v>3356.56</v>
      </c>
      <c r="E274">
        <v>3370.89</v>
      </c>
    </row>
    <row r="275" spans="1:5" x14ac:dyDescent="0.3">
      <c r="A275" s="1" t="s">
        <v>288</v>
      </c>
      <c r="B275">
        <v>3368.21</v>
      </c>
      <c r="C275">
        <v>3392.41</v>
      </c>
      <c r="D275">
        <v>3356.62</v>
      </c>
      <c r="E275">
        <v>3392.41</v>
      </c>
    </row>
    <row r="276" spans="1:5" x14ac:dyDescent="0.3">
      <c r="A276" s="1" t="s">
        <v>289</v>
      </c>
      <c r="B276">
        <v>3418.96</v>
      </c>
      <c r="C276">
        <v>3432.15</v>
      </c>
      <c r="D276">
        <v>3389.31</v>
      </c>
      <c r="E276">
        <v>3432.15</v>
      </c>
    </row>
    <row r="277" spans="1:5" x14ac:dyDescent="0.3">
      <c r="A277" s="1" t="s">
        <v>290</v>
      </c>
      <c r="B277">
        <v>3438.02</v>
      </c>
      <c r="C277">
        <v>3438.02</v>
      </c>
      <c r="D277">
        <v>3393.69</v>
      </c>
      <c r="E277">
        <v>3393.69</v>
      </c>
    </row>
    <row r="278" spans="1:5" x14ac:dyDescent="0.3">
      <c r="A278" s="1" t="s">
        <v>291</v>
      </c>
      <c r="B278">
        <v>3405.02</v>
      </c>
      <c r="C278">
        <v>3428.33</v>
      </c>
      <c r="D278">
        <v>3372.39</v>
      </c>
      <c r="E278">
        <v>3412.74</v>
      </c>
    </row>
    <row r="279" spans="1:5" x14ac:dyDescent="0.3">
      <c r="A279" s="1" t="s">
        <v>292</v>
      </c>
      <c r="B279">
        <v>3422.07</v>
      </c>
      <c r="C279">
        <v>3437.28</v>
      </c>
      <c r="D279">
        <v>3414.19</v>
      </c>
      <c r="E279">
        <v>3417.49</v>
      </c>
    </row>
    <row r="280" spans="1:5" x14ac:dyDescent="0.3">
      <c r="A280" s="1" t="s">
        <v>293</v>
      </c>
      <c r="B280">
        <v>3386.85</v>
      </c>
      <c r="C280">
        <v>3398.85</v>
      </c>
      <c r="D280">
        <v>3340.99</v>
      </c>
      <c r="E280">
        <v>3359.49</v>
      </c>
    </row>
    <row r="281" spans="1:5" x14ac:dyDescent="0.3">
      <c r="A281" s="1" t="s">
        <v>294</v>
      </c>
      <c r="B281">
        <v>3366.73</v>
      </c>
      <c r="C281">
        <v>3373.67</v>
      </c>
      <c r="D281">
        <v>3355.02</v>
      </c>
      <c r="E281">
        <v>3364.33</v>
      </c>
    </row>
    <row r="282" spans="1:5" x14ac:dyDescent="0.3">
      <c r="A282" s="1" t="s">
        <v>295</v>
      </c>
      <c r="B282">
        <v>3346.63</v>
      </c>
      <c r="C282">
        <v>3346.63</v>
      </c>
      <c r="D282">
        <v>3306.56</v>
      </c>
      <c r="E282">
        <v>3321.64</v>
      </c>
    </row>
    <row r="283" spans="1:5" x14ac:dyDescent="0.3">
      <c r="A283" s="1" t="s">
        <v>296</v>
      </c>
      <c r="B283">
        <v>3352.39</v>
      </c>
      <c r="C283">
        <v>3377.74</v>
      </c>
      <c r="D283">
        <v>3348.68</v>
      </c>
      <c r="E283">
        <v>3377.74</v>
      </c>
    </row>
    <row r="284" spans="1:5" x14ac:dyDescent="0.3">
      <c r="A284" s="1" t="s">
        <v>297</v>
      </c>
      <c r="B284">
        <v>3400.63</v>
      </c>
      <c r="C284">
        <v>3407.81</v>
      </c>
      <c r="D284">
        <v>3357.79</v>
      </c>
      <c r="E284">
        <v>3385.33</v>
      </c>
    </row>
    <row r="285" spans="1:5" x14ac:dyDescent="0.3">
      <c r="A285" s="1" t="s">
        <v>298</v>
      </c>
      <c r="B285">
        <v>3381.22</v>
      </c>
      <c r="C285">
        <v>3392.66</v>
      </c>
      <c r="D285">
        <v>3357.28</v>
      </c>
      <c r="E285">
        <v>3383.82</v>
      </c>
    </row>
    <row r="286" spans="1:5" x14ac:dyDescent="0.3">
      <c r="A286" s="1" t="s">
        <v>299</v>
      </c>
      <c r="B286">
        <v>3404.71</v>
      </c>
      <c r="C286">
        <v>3452.39</v>
      </c>
      <c r="D286">
        <v>3385.52</v>
      </c>
      <c r="E286">
        <v>3440.36</v>
      </c>
    </row>
    <row r="287" spans="1:5" x14ac:dyDescent="0.3">
      <c r="A287" s="1" t="s">
        <v>300</v>
      </c>
      <c r="B287">
        <v>3441.25</v>
      </c>
      <c r="C287">
        <v>3441.25</v>
      </c>
      <c r="D287">
        <v>3388.2</v>
      </c>
      <c r="E287">
        <v>3421.01</v>
      </c>
    </row>
    <row r="288" spans="1:5" x14ac:dyDescent="0.3">
      <c r="A288" s="1" t="s">
        <v>301</v>
      </c>
      <c r="B288">
        <v>3450.08</v>
      </c>
      <c r="C288">
        <v>3482.4</v>
      </c>
      <c r="D288">
        <v>3435.71</v>
      </c>
      <c r="E288">
        <v>3480.47</v>
      </c>
    </row>
    <row r="289" spans="1:5" x14ac:dyDescent="0.3">
      <c r="A289" s="1" t="s">
        <v>302</v>
      </c>
      <c r="B289">
        <v>3474.64</v>
      </c>
      <c r="C289">
        <v>3485.6</v>
      </c>
      <c r="D289">
        <v>3435.57</v>
      </c>
      <c r="E289">
        <v>3448.24</v>
      </c>
    </row>
    <row r="290" spans="1:5" x14ac:dyDescent="0.3">
      <c r="A290" s="1" t="s">
        <v>303</v>
      </c>
      <c r="B290">
        <v>3459.67</v>
      </c>
      <c r="C290">
        <v>3468.62</v>
      </c>
      <c r="D290">
        <v>3425</v>
      </c>
      <c r="E290">
        <v>3440.02</v>
      </c>
    </row>
    <row r="291" spans="1:5" x14ac:dyDescent="0.3">
      <c r="A291" s="1" t="s">
        <v>304</v>
      </c>
      <c r="B291">
        <v>3362.66</v>
      </c>
      <c r="C291">
        <v>3429.47</v>
      </c>
      <c r="D291">
        <v>3362.66</v>
      </c>
      <c r="E291">
        <v>3402.36</v>
      </c>
    </row>
    <row r="292" spans="1:5" x14ac:dyDescent="0.3">
      <c r="A292" s="1" t="s">
        <v>305</v>
      </c>
      <c r="B292">
        <v>3377.76</v>
      </c>
      <c r="C292">
        <v>3377.76</v>
      </c>
      <c r="D292">
        <v>3239.23</v>
      </c>
      <c r="E292">
        <v>3249.38</v>
      </c>
    </row>
    <row r="293" spans="1:5" x14ac:dyDescent="0.3">
      <c r="A293" s="1" t="s">
        <v>306</v>
      </c>
      <c r="B293">
        <v>3275.64</v>
      </c>
      <c r="C293">
        <v>3341.02</v>
      </c>
      <c r="D293">
        <v>3275.64</v>
      </c>
      <c r="E293">
        <v>3335.75</v>
      </c>
    </row>
    <row r="294" spans="1:5" x14ac:dyDescent="0.3">
      <c r="A294" s="1" t="s">
        <v>307</v>
      </c>
      <c r="B294">
        <v>3336.04</v>
      </c>
      <c r="C294">
        <v>3368.25</v>
      </c>
      <c r="D294">
        <v>3310.46</v>
      </c>
      <c r="E294">
        <v>3326.54</v>
      </c>
    </row>
    <row r="295" spans="1:5" x14ac:dyDescent="0.3">
      <c r="A295" s="1" t="s">
        <v>308</v>
      </c>
      <c r="B295">
        <v>3349.06</v>
      </c>
      <c r="C295">
        <v>3349.06</v>
      </c>
      <c r="D295">
        <v>3244.45</v>
      </c>
      <c r="E295">
        <v>3262.33</v>
      </c>
    </row>
    <row r="296" spans="1:5" x14ac:dyDescent="0.3">
      <c r="A296" s="1" t="s">
        <v>309</v>
      </c>
      <c r="B296">
        <v>3212.39</v>
      </c>
      <c r="C296">
        <v>3265.24</v>
      </c>
      <c r="D296">
        <v>3182.92</v>
      </c>
      <c r="E296">
        <v>3256.8</v>
      </c>
    </row>
    <row r="297" spans="1:5" x14ac:dyDescent="0.3">
      <c r="A297" s="1" t="s">
        <v>310</v>
      </c>
      <c r="B297">
        <v>3324.61</v>
      </c>
      <c r="C297">
        <v>3348.02</v>
      </c>
      <c r="D297">
        <v>3310.49</v>
      </c>
      <c r="E297">
        <v>3327.28</v>
      </c>
    </row>
    <row r="298" spans="1:5" x14ac:dyDescent="0.3">
      <c r="A298" s="1" t="s">
        <v>311</v>
      </c>
      <c r="B298">
        <v>3324.09</v>
      </c>
      <c r="C298">
        <v>3330.6</v>
      </c>
      <c r="D298">
        <v>3288.52</v>
      </c>
      <c r="E298">
        <v>3312.71</v>
      </c>
    </row>
    <row r="299" spans="1:5" x14ac:dyDescent="0.3">
      <c r="A299" s="1" t="s">
        <v>312</v>
      </c>
      <c r="B299">
        <v>3327.68</v>
      </c>
      <c r="C299">
        <v>3329.98</v>
      </c>
      <c r="D299">
        <v>3252.34</v>
      </c>
      <c r="E299">
        <v>3291.27</v>
      </c>
    </row>
    <row r="300" spans="1:5" x14ac:dyDescent="0.3">
      <c r="A300" s="1" t="s">
        <v>313</v>
      </c>
      <c r="B300">
        <v>3263.95</v>
      </c>
      <c r="C300">
        <v>3310.71</v>
      </c>
      <c r="D300">
        <v>3249.92</v>
      </c>
      <c r="E300">
        <v>3274.54</v>
      </c>
    </row>
    <row r="301" spans="1:5" x14ac:dyDescent="0.3">
      <c r="A301" s="1" t="s">
        <v>314</v>
      </c>
      <c r="B301">
        <v>3281.31</v>
      </c>
      <c r="C301">
        <v>3305.54</v>
      </c>
      <c r="D301">
        <v>3259.04</v>
      </c>
      <c r="E301">
        <v>3292.46</v>
      </c>
    </row>
    <row r="302" spans="1:5" x14ac:dyDescent="0.3">
      <c r="A302" s="1" t="s">
        <v>315</v>
      </c>
      <c r="B302">
        <v>3290.39</v>
      </c>
      <c r="C302">
        <v>3373.93</v>
      </c>
      <c r="D302">
        <v>3287.89</v>
      </c>
      <c r="E302">
        <v>3359.96</v>
      </c>
    </row>
    <row r="303" spans="1:5" x14ac:dyDescent="0.3">
      <c r="A303" s="1" t="s">
        <v>316</v>
      </c>
      <c r="B303">
        <v>3379.99</v>
      </c>
      <c r="C303">
        <v>3408.97</v>
      </c>
      <c r="D303">
        <v>3338.2</v>
      </c>
      <c r="E303">
        <v>3338.2</v>
      </c>
    </row>
    <row r="304" spans="1:5" x14ac:dyDescent="0.3">
      <c r="A304" s="1" t="s">
        <v>317</v>
      </c>
      <c r="B304">
        <v>3315.79</v>
      </c>
      <c r="C304">
        <v>3315.79</v>
      </c>
      <c r="D304">
        <v>3266.46</v>
      </c>
      <c r="E304">
        <v>3276.57</v>
      </c>
    </row>
    <row r="305" spans="1:5" x14ac:dyDescent="0.3">
      <c r="A305" s="1" t="s">
        <v>318</v>
      </c>
      <c r="B305">
        <v>3297.49</v>
      </c>
      <c r="C305">
        <v>3309.63</v>
      </c>
      <c r="D305">
        <v>3230.89</v>
      </c>
      <c r="E305">
        <v>3248.12</v>
      </c>
    </row>
    <row r="306" spans="1:5" x14ac:dyDescent="0.3">
      <c r="A306" s="1" t="s">
        <v>319</v>
      </c>
      <c r="B306">
        <v>3200.99</v>
      </c>
      <c r="C306">
        <v>3293.34</v>
      </c>
      <c r="D306">
        <v>3134.6</v>
      </c>
      <c r="E306">
        <v>3268.15</v>
      </c>
    </row>
    <row r="307" spans="1:5" x14ac:dyDescent="0.3">
      <c r="A307" s="1" t="s">
        <v>320</v>
      </c>
      <c r="B307">
        <v>3273.93</v>
      </c>
      <c r="C307">
        <v>3273.93</v>
      </c>
      <c r="D307">
        <v>3222.74</v>
      </c>
      <c r="E307">
        <v>3241.42</v>
      </c>
    </row>
    <row r="308" spans="1:5" x14ac:dyDescent="0.3">
      <c r="A308" s="1" t="s">
        <v>321</v>
      </c>
      <c r="B308">
        <v>3284.57</v>
      </c>
      <c r="C308">
        <v>3320.43</v>
      </c>
      <c r="D308">
        <v>3278</v>
      </c>
      <c r="E308">
        <v>3312.41</v>
      </c>
    </row>
    <row r="309" spans="1:5" x14ac:dyDescent="0.3">
      <c r="A309" s="1" t="s">
        <v>322</v>
      </c>
      <c r="B309">
        <v>3302.86</v>
      </c>
      <c r="C309">
        <v>3309.63</v>
      </c>
      <c r="D309">
        <v>3283.13</v>
      </c>
      <c r="E309">
        <v>3306.6</v>
      </c>
    </row>
    <row r="310" spans="1:5" x14ac:dyDescent="0.3">
      <c r="A310" s="1" t="s">
        <v>323</v>
      </c>
      <c r="B310">
        <v>3306.41</v>
      </c>
      <c r="C310">
        <v>3306.41</v>
      </c>
      <c r="D310">
        <v>3234.51</v>
      </c>
      <c r="E310">
        <v>3268.55</v>
      </c>
    </row>
    <row r="311" spans="1:5" x14ac:dyDescent="0.3">
      <c r="A311" s="1" t="s">
        <v>324</v>
      </c>
      <c r="B311">
        <v>3263.53</v>
      </c>
      <c r="C311">
        <v>3312.74</v>
      </c>
      <c r="D311">
        <v>3242.1</v>
      </c>
      <c r="E311">
        <v>3283.06</v>
      </c>
    </row>
    <row r="312" spans="1:5" x14ac:dyDescent="0.3">
      <c r="A312" s="1" t="s">
        <v>325</v>
      </c>
      <c r="B312">
        <v>3301.47</v>
      </c>
      <c r="C312">
        <v>3349.83</v>
      </c>
      <c r="D312">
        <v>3298.02</v>
      </c>
      <c r="E312">
        <v>3340.77</v>
      </c>
    </row>
    <row r="313" spans="1:5" x14ac:dyDescent="0.3">
      <c r="A313" s="1" t="s">
        <v>326</v>
      </c>
      <c r="B313">
        <v>3406.68</v>
      </c>
      <c r="C313">
        <v>3415.47</v>
      </c>
      <c r="D313">
        <v>3389.9</v>
      </c>
      <c r="E313">
        <v>3402.92</v>
      </c>
    </row>
    <row r="314" spans="1:5" x14ac:dyDescent="0.3">
      <c r="A314" s="1" t="s">
        <v>327</v>
      </c>
      <c r="B314">
        <v>3361.26</v>
      </c>
      <c r="C314">
        <v>3433.65</v>
      </c>
      <c r="D314">
        <v>3354.48</v>
      </c>
      <c r="E314">
        <v>3433.65</v>
      </c>
    </row>
    <row r="315" spans="1:5" x14ac:dyDescent="0.3">
      <c r="A315" s="1" t="s">
        <v>328</v>
      </c>
      <c r="B315">
        <v>3432.17</v>
      </c>
      <c r="C315">
        <v>3491.68</v>
      </c>
      <c r="D315">
        <v>3406.97</v>
      </c>
      <c r="E315">
        <v>3416.8</v>
      </c>
    </row>
    <row r="316" spans="1:5" x14ac:dyDescent="0.3">
      <c r="A316" s="1" t="s">
        <v>329</v>
      </c>
      <c r="B316">
        <v>3499.87</v>
      </c>
      <c r="C316">
        <v>3559.04</v>
      </c>
      <c r="D316">
        <v>3479.14</v>
      </c>
      <c r="E316">
        <v>3533.95</v>
      </c>
    </row>
    <row r="317" spans="1:5" x14ac:dyDescent="0.3">
      <c r="A317" s="1" t="s">
        <v>330</v>
      </c>
      <c r="B317">
        <v>3528.54</v>
      </c>
      <c r="C317">
        <v>3554.16</v>
      </c>
      <c r="D317">
        <v>3514.01</v>
      </c>
      <c r="E317">
        <v>3552.48</v>
      </c>
    </row>
    <row r="318" spans="1:5" x14ac:dyDescent="0.3">
      <c r="A318" s="1" t="s">
        <v>331</v>
      </c>
      <c r="B318">
        <v>3562.53</v>
      </c>
      <c r="C318">
        <v>3596.84</v>
      </c>
      <c r="D318">
        <v>3539.96</v>
      </c>
      <c r="E318">
        <v>3596.84</v>
      </c>
    </row>
    <row r="319" spans="1:5" x14ac:dyDescent="0.3">
      <c r="A319" s="1" t="s">
        <v>332</v>
      </c>
      <c r="B319">
        <v>3590.57</v>
      </c>
      <c r="C319">
        <v>3596.03</v>
      </c>
      <c r="D319">
        <v>3565.98</v>
      </c>
      <c r="E319">
        <v>3596.03</v>
      </c>
    </row>
    <row r="320" spans="1:5" x14ac:dyDescent="0.3">
      <c r="A320" s="1" t="s">
        <v>333</v>
      </c>
      <c r="B320">
        <v>3621.53</v>
      </c>
      <c r="C320">
        <v>3654.27</v>
      </c>
      <c r="D320">
        <v>3603.14</v>
      </c>
      <c r="E320">
        <v>3636.72</v>
      </c>
    </row>
    <row r="321" spans="1:5" x14ac:dyDescent="0.3">
      <c r="A321" s="1" t="s">
        <v>334</v>
      </c>
      <c r="B321">
        <v>3631.53</v>
      </c>
      <c r="C321">
        <v>3670.08</v>
      </c>
      <c r="D321">
        <v>3624.78</v>
      </c>
      <c r="E321">
        <v>3665.94</v>
      </c>
    </row>
    <row r="322" spans="1:5" x14ac:dyDescent="0.3">
      <c r="A322" s="1" t="s">
        <v>335</v>
      </c>
      <c r="B322">
        <v>3672.41</v>
      </c>
      <c r="C322">
        <v>3674.29</v>
      </c>
      <c r="D322">
        <v>3626.91</v>
      </c>
      <c r="E322">
        <v>3649.5</v>
      </c>
    </row>
    <row r="323" spans="1:5" x14ac:dyDescent="0.3">
      <c r="A323" s="1" t="s">
        <v>336</v>
      </c>
      <c r="B323">
        <v>3635.1</v>
      </c>
      <c r="C323">
        <v>3704.61</v>
      </c>
      <c r="D323">
        <v>3625.43</v>
      </c>
      <c r="E323">
        <v>3700.6</v>
      </c>
    </row>
    <row r="324" spans="1:5" x14ac:dyDescent="0.3">
      <c r="A324" s="1" t="s">
        <v>337</v>
      </c>
      <c r="B324">
        <v>3664.77</v>
      </c>
      <c r="C324">
        <v>3677.76</v>
      </c>
      <c r="D324">
        <v>3651.63</v>
      </c>
      <c r="E324">
        <v>3666.86</v>
      </c>
    </row>
    <row r="325" spans="1:5" x14ac:dyDescent="0.3">
      <c r="A325" s="1" t="s">
        <v>338</v>
      </c>
      <c r="B325">
        <v>3667.59</v>
      </c>
      <c r="C325">
        <v>3676.44</v>
      </c>
      <c r="D325">
        <v>3640</v>
      </c>
      <c r="E325">
        <v>3640</v>
      </c>
    </row>
    <row r="326" spans="1:5" x14ac:dyDescent="0.3">
      <c r="A326" s="1" t="s">
        <v>339</v>
      </c>
      <c r="B326">
        <v>3638.09</v>
      </c>
      <c r="C326">
        <v>3638.74</v>
      </c>
      <c r="D326">
        <v>3606.52</v>
      </c>
      <c r="E326">
        <v>3615.77</v>
      </c>
    </row>
    <row r="327" spans="1:5" x14ac:dyDescent="0.3">
      <c r="A327" s="1" t="s">
        <v>340</v>
      </c>
      <c r="B327">
        <v>3607.54</v>
      </c>
      <c r="C327">
        <v>3607.54</v>
      </c>
      <c r="D327">
        <v>3555.22</v>
      </c>
      <c r="E327">
        <v>3578.84</v>
      </c>
    </row>
    <row r="328" spans="1:5" x14ac:dyDescent="0.3">
      <c r="A328" s="1" t="s">
        <v>341</v>
      </c>
      <c r="B328">
        <v>3573.12</v>
      </c>
      <c r="C328">
        <v>3579.8</v>
      </c>
      <c r="D328">
        <v>3537.24</v>
      </c>
      <c r="E328">
        <v>3556.91</v>
      </c>
    </row>
    <row r="329" spans="1:5" x14ac:dyDescent="0.3">
      <c r="A329" s="1" t="s">
        <v>342</v>
      </c>
      <c r="B329">
        <v>3566.6</v>
      </c>
      <c r="C329">
        <v>3566.6</v>
      </c>
      <c r="D329">
        <v>3520.44</v>
      </c>
      <c r="E329">
        <v>3528.9</v>
      </c>
    </row>
    <row r="330" spans="1:5" x14ac:dyDescent="0.3">
      <c r="A330" s="1" t="s">
        <v>343</v>
      </c>
      <c r="B330">
        <v>3530.76</v>
      </c>
      <c r="C330">
        <v>3566.57</v>
      </c>
      <c r="D330">
        <v>3497.84</v>
      </c>
      <c r="E330">
        <v>3502.06</v>
      </c>
    </row>
    <row r="331" spans="1:5" x14ac:dyDescent="0.3">
      <c r="A331" s="1" t="s">
        <v>344</v>
      </c>
      <c r="B331">
        <v>3524</v>
      </c>
      <c r="C331">
        <v>3563</v>
      </c>
      <c r="D331">
        <v>3493.5</v>
      </c>
      <c r="E331">
        <v>3503.71</v>
      </c>
    </row>
    <row r="332" spans="1:5" x14ac:dyDescent="0.3">
      <c r="A332" s="1" t="s">
        <v>345</v>
      </c>
      <c r="B332">
        <v>3519.59</v>
      </c>
      <c r="C332">
        <v>3526.73</v>
      </c>
      <c r="D332">
        <v>3466.2</v>
      </c>
      <c r="E332">
        <v>3487.99</v>
      </c>
    </row>
    <row r="333" spans="1:5" x14ac:dyDescent="0.3">
      <c r="A333" s="1" t="s">
        <v>346</v>
      </c>
      <c r="B333">
        <v>3523.9</v>
      </c>
      <c r="C333">
        <v>3535.82</v>
      </c>
      <c r="D333">
        <v>3462.64</v>
      </c>
      <c r="E333">
        <v>3491.84</v>
      </c>
    </row>
    <row r="334" spans="1:5" x14ac:dyDescent="0.3">
      <c r="A334" s="1" t="s">
        <v>347</v>
      </c>
      <c r="B334">
        <v>3491.02</v>
      </c>
      <c r="C334">
        <v>3529.57</v>
      </c>
      <c r="D334">
        <v>3482.66</v>
      </c>
      <c r="E334">
        <v>3529.57</v>
      </c>
    </row>
    <row r="335" spans="1:5" x14ac:dyDescent="0.3">
      <c r="A335" s="1" t="s">
        <v>348</v>
      </c>
      <c r="B335">
        <v>3560.7</v>
      </c>
      <c r="C335">
        <v>3638.51</v>
      </c>
      <c r="D335">
        <v>3558.4</v>
      </c>
      <c r="E335">
        <v>3629.57</v>
      </c>
    </row>
    <row r="336" spans="1:5" x14ac:dyDescent="0.3">
      <c r="A336" s="1" t="s">
        <v>349</v>
      </c>
      <c r="B336">
        <v>3638.82</v>
      </c>
      <c r="C336">
        <v>3640.35</v>
      </c>
      <c r="D336">
        <v>3575.85</v>
      </c>
      <c r="E336">
        <v>3592.99</v>
      </c>
    </row>
    <row r="337" spans="1:5" x14ac:dyDescent="0.3">
      <c r="A337" s="1" t="s">
        <v>350</v>
      </c>
      <c r="B337">
        <v>3606.98</v>
      </c>
      <c r="C337">
        <v>3606.98</v>
      </c>
      <c r="D337">
        <v>3522.26</v>
      </c>
      <c r="E337">
        <v>3535.94</v>
      </c>
    </row>
    <row r="338" spans="1:5" x14ac:dyDescent="0.3">
      <c r="A338" s="1" t="s">
        <v>351</v>
      </c>
      <c r="B338">
        <v>3540.37</v>
      </c>
      <c r="C338">
        <v>3602.4</v>
      </c>
      <c r="D338">
        <v>3519.83</v>
      </c>
      <c r="E338">
        <v>3586.34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Y86"/>
  <sheetViews>
    <sheetView tabSelected="1" topLeftCell="A70" workbookViewId="0">
      <selection activeCell="I87" sqref="I87"/>
    </sheetView>
  </sheetViews>
  <sheetFormatPr defaultRowHeight="14.4" x14ac:dyDescent="0.3"/>
  <sheetData>
    <row r="3" spans="1:18" x14ac:dyDescent="0.3">
      <c r="A3" t="s">
        <v>352</v>
      </c>
      <c r="B3" t="s">
        <v>5</v>
      </c>
    </row>
    <row r="4" spans="1:18" x14ac:dyDescent="0.3">
      <c r="A4" t="s">
        <v>353</v>
      </c>
      <c r="B4" t="s">
        <v>6</v>
      </c>
    </row>
    <row r="5" spans="1:18" x14ac:dyDescent="0.3">
      <c r="A5" t="s">
        <v>355</v>
      </c>
      <c r="B5" t="s">
        <v>7</v>
      </c>
    </row>
    <row r="6" spans="1:18" x14ac:dyDescent="0.3">
      <c r="A6" t="s">
        <v>356</v>
      </c>
      <c r="B6" t="s">
        <v>8</v>
      </c>
    </row>
    <row r="7" spans="1:18" x14ac:dyDescent="0.3">
      <c r="A7" t="s">
        <v>357</v>
      </c>
      <c r="B7" t="s">
        <v>9</v>
      </c>
    </row>
    <row r="8" spans="1:18" x14ac:dyDescent="0.3">
      <c r="A8" t="s">
        <v>358</v>
      </c>
      <c r="B8" s="2" t="s">
        <v>11</v>
      </c>
    </row>
    <row r="9" spans="1:18" x14ac:dyDescent="0.3">
      <c r="A9" t="s">
        <v>359</v>
      </c>
      <c r="B9" s="2" t="s">
        <v>12</v>
      </c>
      <c r="C9" s="3"/>
    </row>
    <row r="10" spans="1:18" x14ac:dyDescent="0.3">
      <c r="A10" t="s">
        <v>360</v>
      </c>
      <c r="B10" s="2" t="s">
        <v>13</v>
      </c>
    </row>
    <row r="11" spans="1:18" x14ac:dyDescent="0.3">
      <c r="A11" t="s">
        <v>361</v>
      </c>
      <c r="B11" s="2" t="s">
        <v>14</v>
      </c>
    </row>
    <row r="12" spans="1:18" x14ac:dyDescent="0.3">
      <c r="A12" t="s">
        <v>362</v>
      </c>
      <c r="B12" t="s">
        <v>10</v>
      </c>
    </row>
    <row r="15" spans="1:18" x14ac:dyDescent="0.3">
      <c r="P15" t="s">
        <v>354</v>
      </c>
      <c r="R15" t="s">
        <v>367</v>
      </c>
    </row>
    <row r="16" spans="1:18" x14ac:dyDescent="0.3">
      <c r="B16" t="s">
        <v>352</v>
      </c>
      <c r="J16" t="s">
        <v>353</v>
      </c>
    </row>
    <row r="18" spans="1:25" x14ac:dyDescent="0.3">
      <c r="T18" t="s">
        <v>368</v>
      </c>
    </row>
    <row r="19" spans="1:25" x14ac:dyDescent="0.3">
      <c r="A19" t="s">
        <v>363</v>
      </c>
      <c r="T19" t="s">
        <v>372</v>
      </c>
    </row>
    <row r="20" spans="1:25" x14ac:dyDescent="0.3">
      <c r="A20" t="s">
        <v>364</v>
      </c>
      <c r="T20" t="s">
        <v>369</v>
      </c>
    </row>
    <row r="21" spans="1:25" x14ac:dyDescent="0.3">
      <c r="A21" t="s">
        <v>365</v>
      </c>
    </row>
    <row r="22" spans="1:25" x14ac:dyDescent="0.3">
      <c r="A22" t="s">
        <v>366</v>
      </c>
    </row>
    <row r="24" spans="1:25" x14ac:dyDescent="0.3">
      <c r="Y24" t="s">
        <v>370</v>
      </c>
    </row>
    <row r="25" spans="1:25" x14ac:dyDescent="0.3">
      <c r="Y25" t="s">
        <v>371</v>
      </c>
    </row>
    <row r="33" spans="2:14" x14ac:dyDescent="0.3">
      <c r="B33" t="s">
        <v>355</v>
      </c>
      <c r="N33" t="s">
        <v>356</v>
      </c>
    </row>
    <row r="34" spans="2:14" x14ac:dyDescent="0.3">
      <c r="B34" t="s">
        <v>375</v>
      </c>
      <c r="L34" t="s">
        <v>374</v>
      </c>
    </row>
    <row r="46" spans="2:14" x14ac:dyDescent="0.3">
      <c r="C46" t="s">
        <v>373</v>
      </c>
    </row>
    <row r="49" spans="3:22" x14ac:dyDescent="0.3">
      <c r="C49" t="s">
        <v>357</v>
      </c>
    </row>
    <row r="51" spans="3:22" x14ac:dyDescent="0.3">
      <c r="N51" t="s">
        <v>358</v>
      </c>
      <c r="O51" t="s">
        <v>378</v>
      </c>
    </row>
    <row r="52" spans="3:22" x14ac:dyDescent="0.3">
      <c r="H52" t="s">
        <v>376</v>
      </c>
      <c r="I52" t="s">
        <v>377</v>
      </c>
    </row>
    <row r="53" spans="3:22" x14ac:dyDescent="0.3">
      <c r="M53" t="s">
        <v>359</v>
      </c>
      <c r="R53" t="s">
        <v>379</v>
      </c>
    </row>
    <row r="56" spans="3:22" x14ac:dyDescent="0.3">
      <c r="V56" t="s">
        <v>380</v>
      </c>
    </row>
    <row r="57" spans="3:22" x14ac:dyDescent="0.3">
      <c r="V57" t="s">
        <v>381</v>
      </c>
    </row>
    <row r="58" spans="3:22" x14ac:dyDescent="0.3">
      <c r="V58" t="s">
        <v>382</v>
      </c>
    </row>
    <row r="73" spans="2:11" x14ac:dyDescent="0.3">
      <c r="B73" t="s">
        <v>360</v>
      </c>
      <c r="D73" t="s">
        <v>383</v>
      </c>
    </row>
    <row r="75" spans="2:11" x14ac:dyDescent="0.3">
      <c r="J75" t="s">
        <v>385</v>
      </c>
      <c r="K75" t="s">
        <v>386</v>
      </c>
    </row>
    <row r="76" spans="2:11" x14ac:dyDescent="0.3">
      <c r="H76" t="s">
        <v>384</v>
      </c>
    </row>
    <row r="78" spans="2:11" x14ac:dyDescent="0.3">
      <c r="I78" t="s">
        <v>385</v>
      </c>
      <c r="J78">
        <f>3532.06</f>
        <v>3532.06</v>
      </c>
    </row>
    <row r="79" spans="2:11" x14ac:dyDescent="0.3">
      <c r="I79" t="s">
        <v>388</v>
      </c>
      <c r="J79">
        <v>78.831999999999994</v>
      </c>
    </row>
    <row r="80" spans="2:11" x14ac:dyDescent="0.3">
      <c r="I80" t="s">
        <v>387</v>
      </c>
      <c r="J80" s="4">
        <f>J79/J78</f>
        <v>2.2318986653680855E-2</v>
      </c>
    </row>
    <row r="81" spans="9:12" x14ac:dyDescent="0.3">
      <c r="I81" t="s">
        <v>389</v>
      </c>
      <c r="J81">
        <v>3454.17</v>
      </c>
      <c r="L81">
        <f>3686.57-3377.55</f>
        <v>309.02</v>
      </c>
    </row>
    <row r="82" spans="9:12" x14ac:dyDescent="0.3">
      <c r="I82" t="s">
        <v>390</v>
      </c>
      <c r="J82">
        <v>3686.57</v>
      </c>
    </row>
    <row r="84" spans="9:12" x14ac:dyDescent="0.3">
      <c r="I84" t="s">
        <v>391</v>
      </c>
    </row>
    <row r="85" spans="9:12" x14ac:dyDescent="0.3">
      <c r="I85" t="s">
        <v>392</v>
      </c>
    </row>
    <row r="86" spans="9:12" x14ac:dyDescent="0.3">
      <c r="I86" t="s">
        <v>393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381C-F02A-4362-A666-228DC5FC027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WIG20</vt:lpstr>
      <vt:lpstr>polecenia</vt:lpstr>
      <vt:lpstr>notatki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Dorota</dc:creator>
  <cp:lastModifiedBy>prac608</cp:lastModifiedBy>
  <dcterms:created xsi:type="dcterms:W3CDTF">2026-05-12T04:46:57Z</dcterms:created>
  <dcterms:modified xsi:type="dcterms:W3CDTF">2026-05-12T08:55:58Z</dcterms:modified>
</cp:coreProperties>
</file>