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P_I_Sym_KW2\"/>
    </mc:Choice>
  </mc:AlternateContent>
  <xr:revisionPtr revIDLastSave="0" documentId="13_ncr:1_{2F436315-0BFD-4B56-850B-093E0EBF65DA}" xr6:coauthVersionLast="47" xr6:coauthVersionMax="47" xr10:uidLastSave="{00000000-0000-0000-0000-000000000000}"/>
  <bookViews>
    <workbookView xWindow="-108" yWindow="-108" windowWidth="23256" windowHeight="12456" activeTab="3" xr2:uid="{E40CE6B1-92C5-40A9-8CC6-72F910AB3E5D}"/>
  </bookViews>
  <sheets>
    <sheet name="zad1" sheetId="1" r:id="rId1"/>
    <sheet name="to_samo w gretlu" sheetId="2" r:id="rId2"/>
    <sheet name="zad2_gretl" sheetId="3" r:id="rId3"/>
    <sheet name="Arkusz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3" l="1"/>
  <c r="M13" i="3"/>
  <c r="Y29" i="1"/>
  <c r="X28" i="1"/>
  <c r="Z25" i="1"/>
  <c r="X25" i="1"/>
  <c r="W23" i="1"/>
  <c r="T17" i="1"/>
  <c r="T14" i="1"/>
  <c r="W35" i="1" a="1"/>
  <c r="W35" i="1" s="1"/>
  <c r="W32" i="1" a="1"/>
  <c r="W32" i="1" s="1"/>
  <c r="T11" i="1"/>
  <c r="T5" i="1"/>
  <c r="T4" i="1"/>
  <c r="T3" i="1"/>
  <c r="Q1" i="1"/>
  <c r="Q4" i="1"/>
  <c r="Q5" i="1"/>
  <c r="Q6" i="1"/>
  <c r="Q7" i="1"/>
  <c r="Q8" i="1"/>
  <c r="Q9" i="1"/>
  <c r="Q10" i="1"/>
  <c r="Q3" i="1"/>
  <c r="P4" i="1"/>
  <c r="P5" i="1"/>
  <c r="P6" i="1"/>
  <c r="P7" i="1"/>
  <c r="P8" i="1"/>
  <c r="P9" i="1"/>
  <c r="P10" i="1"/>
  <c r="P3" i="1"/>
  <c r="O3" i="1" a="1"/>
  <c r="O3" i="1" s="1"/>
  <c r="O36" i="1" a="1"/>
  <c r="O36" i="1" s="1"/>
  <c r="L36" i="1" a="1"/>
  <c r="L36" i="1" s="1"/>
  <c r="M32" i="1" a="1"/>
  <c r="M32" i="1" s="1"/>
  <c r="L28" i="1" a="1"/>
  <c r="L28" i="1" s="1"/>
  <c r="L24" i="1" a="1"/>
  <c r="L24" i="1" s="1"/>
  <c r="Q16" i="1"/>
  <c r="Q17" i="1"/>
  <c r="Q18" i="1"/>
  <c r="Q19" i="1"/>
  <c r="Q20" i="1"/>
  <c r="Q21" i="1"/>
  <c r="Q22" i="1"/>
  <c r="Q15" i="1"/>
  <c r="N16" i="1"/>
  <c r="N17" i="1"/>
  <c r="N18" i="1"/>
  <c r="N19" i="1"/>
  <c r="N20" i="1"/>
  <c r="N21" i="1"/>
  <c r="N22" i="1"/>
  <c r="M16" i="1"/>
  <c r="M17" i="1"/>
  <c r="M18" i="1"/>
  <c r="M19" i="1"/>
  <c r="M20" i="1"/>
  <c r="M21" i="1"/>
  <c r="M22" i="1"/>
  <c r="N15" i="1"/>
  <c r="M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<sst xmlns="http://schemas.openxmlformats.org/spreadsheetml/2006/main" count="90" uniqueCount="76">
  <si>
    <t>i</t>
  </si>
  <si>
    <t>Y</t>
  </si>
  <si>
    <t>X1</t>
  </si>
  <si>
    <t>X2</t>
  </si>
  <si>
    <t>Model:</t>
  </si>
  <si>
    <t>Y=a0+a1X1+a2X2+E</t>
  </si>
  <si>
    <t>KMNK:</t>
  </si>
  <si>
    <t>a=(X^t*X)^-1*X^t*y</t>
  </si>
  <si>
    <t>X=</t>
  </si>
  <si>
    <t>(8x3)</t>
  </si>
  <si>
    <t>Y=</t>
  </si>
  <si>
    <t>(8x1)</t>
  </si>
  <si>
    <t>X^t</t>
  </si>
  <si>
    <t>(3x8)</t>
  </si>
  <si>
    <t>x^t*x</t>
  </si>
  <si>
    <t>(X^t*X)^-1</t>
  </si>
  <si>
    <t>X^t*y</t>
  </si>
  <si>
    <t>a=</t>
  </si>
  <si>
    <t>oceny parametrów strukturalnych</t>
  </si>
  <si>
    <t>a0</t>
  </si>
  <si>
    <t>a1</t>
  </si>
  <si>
    <t>a2</t>
  </si>
  <si>
    <t>Y^=</t>
  </si>
  <si>
    <t>63,5+2,5X1-2X2+E</t>
  </si>
  <si>
    <t>Y^t</t>
  </si>
  <si>
    <t>e=Y-Y^</t>
  </si>
  <si>
    <t>e^2</t>
  </si>
  <si>
    <t>Wariancja reszt</t>
  </si>
  <si>
    <t>S^2e</t>
  </si>
  <si>
    <t>Se=</t>
  </si>
  <si>
    <t>standardowy błąd modelu</t>
  </si>
  <si>
    <t>Ve=</t>
  </si>
  <si>
    <t>Prognoza punktowa Y*</t>
  </si>
  <si>
    <t>1.</t>
  </si>
  <si>
    <t>2.</t>
  </si>
  <si>
    <t>3.</t>
  </si>
  <si>
    <t>4.</t>
  </si>
  <si>
    <t>dla ustalonych wartości X:</t>
  </si>
  <si>
    <t>X1=</t>
  </si>
  <si>
    <t>X2=</t>
  </si>
  <si>
    <t>Y*=</t>
  </si>
  <si>
    <t>Dt=</t>
  </si>
  <si>
    <t>XTT=</t>
  </si>
  <si>
    <t>(1x3)</t>
  </si>
  <si>
    <t>Xt=</t>
  </si>
  <si>
    <t>(3x1)</t>
  </si>
  <si>
    <t>iloczyn XTT*X^t*X)^-1</t>
  </si>
  <si>
    <t>iloczyn tego wyżej*Xt</t>
  </si>
  <si>
    <t>skalar</t>
  </si>
  <si>
    <t>(1x1)</t>
  </si>
  <si>
    <t>z wzoru</t>
  </si>
  <si>
    <t>Błąd bezwzględny prognozy ex ante Dt</t>
  </si>
  <si>
    <t>Błąd względny prognozy ex ante Vt</t>
  </si>
  <si>
    <t>Vt=</t>
  </si>
  <si>
    <t>&gt;10% zatem prognoza nie dopuszczalna i nie ma sensu robić prognozy przedziałowej</t>
  </si>
  <si>
    <t>Tylko dla ciekwosći robione bo wyszło &gt;10%</t>
  </si>
  <si>
    <t>Prognoza przedziałowa</t>
  </si>
  <si>
    <t>poziom wiarygodności/ufność standardowo 1- alfa=0,95</t>
  </si>
  <si>
    <t>poziom istotności</t>
  </si>
  <si>
    <t>standardowo alfa=0,05</t>
  </si>
  <si>
    <t>liczba stopni swobody standardowo to n-k-1=5</t>
  </si>
  <si>
    <t>statystyka t-studneta</t>
  </si>
  <si>
    <t>t alfa=</t>
  </si>
  <si>
    <t xml:space="preserve">Prognoza przedziałowa </t>
  </si>
  <si>
    <t>dolna granica</t>
  </si>
  <si>
    <t>górna granica</t>
  </si>
  <si>
    <t>&lt;Y* T&lt;</t>
  </si>
  <si>
    <t>P(35,11&lt;Y* T&lt;89,89)</t>
  </si>
  <si>
    <t>na 95% Y znajdzie się w tym przedziale</t>
  </si>
  <si>
    <t>Błąd bezwzględny prognozy przedziałowej ex ante Dt</t>
  </si>
  <si>
    <t>Błąd względny</t>
  </si>
  <si>
    <t>t</t>
  </si>
  <si>
    <t>w1</t>
  </si>
  <si>
    <t>w2</t>
  </si>
  <si>
    <t xml:space="preserve">wziołem roczne a nie miesięczne przy wczytaniu </t>
  </si>
  <si>
    <t>mój błąd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</si>
</sst>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/>
    <xf numFmtId="2" fontId="0" fillId="2" borderId="0" xfId="0" applyNumberFormat="1" applyFill="1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2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0" fillId="0" borderId="0" xfId="0" applyNumberFormat="1"/>
    <xf numFmtId="10" fontId="0" fillId="0" borderId="0" xfId="0" applyNumberFormat="1"/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2" fontId="1" fillId="0" borderId="0" xfId="0" applyNumberFormat="1" applyFont="1"/>
    <xf numFmtId="2" fontId="3" fillId="0" borderId="0" xfId="0" applyNumberFormat="1" applyFont="1"/>
    <xf numFmtId="10" fontId="3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127189</xdr:colOff>
      <xdr:row>18</xdr:row>
      <xdr:rowOff>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81DCA5C-484F-4785-8C68-EEAB5F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13589" cy="3291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220980</xdr:colOff>
      <xdr:row>0</xdr:row>
      <xdr:rowOff>53340</xdr:rowOff>
    </xdr:from>
    <xdr:to>
      <xdr:col>10</xdr:col>
      <xdr:colOff>118829</xdr:colOff>
      <xdr:row>11</xdr:row>
      <xdr:rowOff>126254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07AC02C-38D8-43E2-9014-588D785BD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9380" y="53340"/>
          <a:ext cx="3555449" cy="20845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11</xdr:row>
      <xdr:rowOff>45720</xdr:rowOff>
    </xdr:from>
    <xdr:to>
      <xdr:col>16</xdr:col>
      <xdr:colOff>411294</xdr:colOff>
      <xdr:row>36</xdr:row>
      <xdr:rowOff>88457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700D513-9755-43FA-8AA9-3155852DA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2057400"/>
          <a:ext cx="10142034" cy="46147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243840</xdr:colOff>
      <xdr:row>18</xdr:row>
      <xdr:rowOff>134025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76C8548-26F4-4DD1-AD94-E5C7CAA81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120639" cy="34258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289560</xdr:colOff>
      <xdr:row>2</xdr:row>
      <xdr:rowOff>114300</xdr:rowOff>
    </xdr:from>
    <xdr:to>
      <xdr:col>32</xdr:col>
      <xdr:colOff>491995</xdr:colOff>
      <xdr:row>49</xdr:row>
      <xdr:rowOff>92636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0745E2F-3E64-4EE8-A1C2-C6EFF7461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" y="480060"/>
          <a:ext cx="17271235" cy="8573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D421-D08A-4784-A942-609F875C832F}">
  <dimension ref="K1:Z39"/>
  <sheetViews>
    <sheetView workbookViewId="0">
      <selection activeCell="K2" sqref="K2:N10"/>
    </sheetView>
  </sheetViews>
  <sheetFormatPr defaultRowHeight="14.4" x14ac:dyDescent="0.3"/>
  <sheetData>
    <row r="1" spans="11:21" x14ac:dyDescent="0.3">
      <c r="Q1">
        <f>SUM(Q3:Q10)</f>
        <v>31</v>
      </c>
      <c r="S1" t="s">
        <v>33</v>
      </c>
    </row>
    <row r="2" spans="11:21" x14ac:dyDescent="0.3">
      <c r="K2" s="3" t="s">
        <v>0</v>
      </c>
      <c r="L2" s="3" t="s">
        <v>1</v>
      </c>
      <c r="M2" s="3" t="s">
        <v>2</v>
      </c>
      <c r="N2" s="3" t="s">
        <v>3</v>
      </c>
      <c r="O2" s="10" t="s">
        <v>24</v>
      </c>
      <c r="P2" s="10" t="s">
        <v>25</v>
      </c>
      <c r="Q2" s="10" t="s">
        <v>26</v>
      </c>
      <c r="R2" s="15"/>
      <c r="S2" s="11" t="s">
        <v>27</v>
      </c>
      <c r="U2" s="12"/>
    </row>
    <row r="3" spans="11:21" x14ac:dyDescent="0.3">
      <c r="K3" s="2">
        <v>1</v>
      </c>
      <c r="L3" s="2">
        <v>55</v>
      </c>
      <c r="M3" s="2">
        <v>2</v>
      </c>
      <c r="N3" s="2">
        <v>6</v>
      </c>
      <c r="O3" s="1" cm="1">
        <f t="array" ref="O3:O10">MMULT(L15:N22,_xlfn.ANCHORARRAY(O36))</f>
        <v>56.500000000000909</v>
      </c>
      <c r="P3" s="1">
        <f>L3-O3</f>
        <v>-1.5000000000009095</v>
      </c>
      <c r="Q3" s="1">
        <f>P3^2</f>
        <v>2.2500000000027285</v>
      </c>
      <c r="S3" t="s">
        <v>28</v>
      </c>
      <c r="T3">
        <f>Q1/(K10-2-1)</f>
        <v>6.2</v>
      </c>
    </row>
    <row r="4" spans="11:21" x14ac:dyDescent="0.3">
      <c r="K4" s="2">
        <v>2</v>
      </c>
      <c r="L4" s="2">
        <v>57</v>
      </c>
      <c r="M4" s="2">
        <v>1</v>
      </c>
      <c r="N4" s="2">
        <v>6</v>
      </c>
      <c r="O4" s="1">
        <v>54.000000000000909</v>
      </c>
      <c r="P4" s="1">
        <f t="shared" ref="P4:P10" si="0">L4-O4</f>
        <v>2.9999999999990905</v>
      </c>
      <c r="Q4" s="1">
        <f t="shared" ref="Q4:Q10" si="1">P4^2</f>
        <v>8.999999999994543</v>
      </c>
      <c r="S4" t="s">
        <v>29</v>
      </c>
      <c r="T4" s="13">
        <f>SQRT(T3)</f>
        <v>2.4899799195977463</v>
      </c>
      <c r="U4" t="s">
        <v>30</v>
      </c>
    </row>
    <row r="5" spans="11:21" x14ac:dyDescent="0.3">
      <c r="K5" s="2">
        <v>3</v>
      </c>
      <c r="L5" s="2">
        <v>56</v>
      </c>
      <c r="M5" s="2">
        <v>2</v>
      </c>
      <c r="N5" s="2">
        <v>5</v>
      </c>
      <c r="O5" s="1">
        <v>58.500000000000909</v>
      </c>
      <c r="P5" s="1">
        <f t="shared" si="0"/>
        <v>-2.5000000000009095</v>
      </c>
      <c r="Q5" s="1">
        <f t="shared" si="1"/>
        <v>6.2500000000045475</v>
      </c>
      <c r="S5" t="s">
        <v>31</v>
      </c>
      <c r="T5" s="14">
        <f>T4/AVERAGE(L3:L10)</f>
        <v>3.9680954893987992E-2</v>
      </c>
    </row>
    <row r="6" spans="11:21" x14ac:dyDescent="0.3">
      <c r="K6" s="2">
        <v>4</v>
      </c>
      <c r="L6" s="2">
        <v>61</v>
      </c>
      <c r="M6" s="2">
        <v>3</v>
      </c>
      <c r="N6" s="2">
        <v>4</v>
      </c>
      <c r="O6" s="1">
        <v>63.000000000000909</v>
      </c>
      <c r="P6" s="1">
        <f t="shared" si="0"/>
        <v>-2.0000000000009095</v>
      </c>
      <c r="Q6" s="1">
        <f t="shared" si="1"/>
        <v>4.000000000003638</v>
      </c>
    </row>
    <row r="7" spans="11:21" x14ac:dyDescent="0.3">
      <c r="K7" s="2">
        <v>5</v>
      </c>
      <c r="L7" s="2">
        <v>65</v>
      </c>
      <c r="M7" s="2">
        <v>3</v>
      </c>
      <c r="N7" s="2">
        <v>3</v>
      </c>
      <c r="O7" s="1">
        <v>65.000000000000909</v>
      </c>
      <c r="P7" s="1">
        <f t="shared" si="0"/>
        <v>-9.0949470177292824E-13</v>
      </c>
      <c r="Q7" s="1">
        <f t="shared" si="1"/>
        <v>8.2718061255302767E-25</v>
      </c>
      <c r="R7" s="16" t="s">
        <v>34</v>
      </c>
      <c r="S7" s="9" t="s">
        <v>32</v>
      </c>
    </row>
    <row r="8" spans="11:21" x14ac:dyDescent="0.3">
      <c r="K8" s="2">
        <v>6</v>
      </c>
      <c r="L8" s="2">
        <v>67</v>
      </c>
      <c r="M8" s="2">
        <v>4</v>
      </c>
      <c r="N8" s="2">
        <v>4</v>
      </c>
      <c r="O8" s="1">
        <v>65.500000000000909</v>
      </c>
      <c r="P8" s="1">
        <f t="shared" si="0"/>
        <v>1.4999999999990905</v>
      </c>
      <c r="Q8" s="1">
        <f t="shared" si="1"/>
        <v>2.2499999999972715</v>
      </c>
      <c r="S8" t="s">
        <v>37</v>
      </c>
    </row>
    <row r="9" spans="11:21" x14ac:dyDescent="0.3">
      <c r="K9" s="2">
        <v>7</v>
      </c>
      <c r="L9" s="2">
        <v>70</v>
      </c>
      <c r="M9" s="2">
        <v>4</v>
      </c>
      <c r="N9" s="2">
        <v>3</v>
      </c>
      <c r="O9" s="1">
        <v>67.500000000000909</v>
      </c>
      <c r="P9" s="1">
        <f t="shared" si="0"/>
        <v>2.4999999999990905</v>
      </c>
      <c r="Q9" s="1">
        <f t="shared" si="1"/>
        <v>6.2499999999954525</v>
      </c>
      <c r="S9" t="s">
        <v>38</v>
      </c>
      <c r="T9">
        <v>6</v>
      </c>
    </row>
    <row r="10" spans="11:21" x14ac:dyDescent="0.3">
      <c r="K10" s="2">
        <v>8</v>
      </c>
      <c r="L10" s="2">
        <v>71</v>
      </c>
      <c r="M10" s="2">
        <v>5</v>
      </c>
      <c r="N10" s="2">
        <v>2</v>
      </c>
      <c r="O10" s="1">
        <v>72.000000000000909</v>
      </c>
      <c r="P10" s="1">
        <f t="shared" si="0"/>
        <v>-1.0000000000009095</v>
      </c>
      <c r="Q10" s="1">
        <f t="shared" si="1"/>
        <v>1.000000000001819</v>
      </c>
      <c r="S10" t="s">
        <v>39</v>
      </c>
      <c r="T10">
        <v>8</v>
      </c>
    </row>
    <row r="11" spans="11:21" x14ac:dyDescent="0.3">
      <c r="S11" t="s">
        <v>40</v>
      </c>
      <c r="T11" s="7">
        <f>63.5+2.5*T9-2*T10</f>
        <v>62.5</v>
      </c>
    </row>
    <row r="12" spans="11:21" x14ac:dyDescent="0.3">
      <c r="K12" t="s">
        <v>4</v>
      </c>
      <c r="L12" t="s">
        <v>5</v>
      </c>
      <c r="O12" t="s">
        <v>22</v>
      </c>
      <c r="P12" t="s">
        <v>23</v>
      </c>
    </row>
    <row r="13" spans="11:21" x14ac:dyDescent="0.3">
      <c r="K13" t="s">
        <v>6</v>
      </c>
      <c r="L13" t="s">
        <v>7</v>
      </c>
      <c r="R13" s="16" t="s">
        <v>35</v>
      </c>
      <c r="S13" s="9" t="s">
        <v>51</v>
      </c>
      <c r="T13" s="9"/>
      <c r="U13" s="9"/>
    </row>
    <row r="14" spans="11:21" x14ac:dyDescent="0.3">
      <c r="S14" s="7" t="s">
        <v>41</v>
      </c>
      <c r="T14" s="18">
        <f>T4*SQRT(1+W35)</f>
        <v>10.656188240927747</v>
      </c>
    </row>
    <row r="15" spans="11:21" x14ac:dyDescent="0.3">
      <c r="K15" t="s">
        <v>8</v>
      </c>
      <c r="L15" s="4">
        <v>1</v>
      </c>
      <c r="M15" s="4">
        <f>M3</f>
        <v>2</v>
      </c>
      <c r="N15" s="4">
        <f>N3</f>
        <v>6</v>
      </c>
      <c r="P15" t="s">
        <v>10</v>
      </c>
      <c r="Q15" s="4">
        <f>L3</f>
        <v>55</v>
      </c>
      <c r="S15" t="s">
        <v>50</v>
      </c>
    </row>
    <row r="16" spans="11:21" x14ac:dyDescent="0.3">
      <c r="K16" t="s">
        <v>9</v>
      </c>
      <c r="L16" s="4">
        <v>1</v>
      </c>
      <c r="M16" s="4">
        <f t="shared" ref="M16:N22" si="2">M4</f>
        <v>1</v>
      </c>
      <c r="N16" s="4">
        <f t="shared" si="2"/>
        <v>6</v>
      </c>
      <c r="P16" t="s">
        <v>11</v>
      </c>
      <c r="Q16" s="4">
        <f t="shared" ref="Q16:Q22" si="3">L4</f>
        <v>57</v>
      </c>
      <c r="S16" t="s">
        <v>52</v>
      </c>
    </row>
    <row r="17" spans="11:26" x14ac:dyDescent="0.3">
      <c r="L17" s="4">
        <v>1</v>
      </c>
      <c r="M17" s="4">
        <f t="shared" si="2"/>
        <v>2</v>
      </c>
      <c r="N17" s="4">
        <f t="shared" si="2"/>
        <v>5</v>
      </c>
      <c r="Q17" s="4">
        <f t="shared" si="3"/>
        <v>56</v>
      </c>
      <c r="S17" s="7" t="s">
        <v>53</v>
      </c>
      <c r="T17" s="19">
        <f>T14/T11</f>
        <v>0.17049901185484395</v>
      </c>
      <c r="U17" t="s">
        <v>54</v>
      </c>
    </row>
    <row r="18" spans="11:26" x14ac:dyDescent="0.3">
      <c r="L18" s="4">
        <v>1</v>
      </c>
      <c r="M18" s="4">
        <f t="shared" si="2"/>
        <v>3</v>
      </c>
      <c r="N18" s="4">
        <f t="shared" si="2"/>
        <v>4</v>
      </c>
      <c r="Q18" s="4">
        <f t="shared" si="3"/>
        <v>61</v>
      </c>
      <c r="R18" s="16" t="s">
        <v>36</v>
      </c>
      <c r="S18" t="s">
        <v>55</v>
      </c>
    </row>
    <row r="19" spans="11:26" x14ac:dyDescent="0.3">
      <c r="L19" s="4">
        <v>1</v>
      </c>
      <c r="M19" s="4">
        <f t="shared" si="2"/>
        <v>3</v>
      </c>
      <c r="N19" s="4">
        <f t="shared" si="2"/>
        <v>3</v>
      </c>
      <c r="Q19" s="4">
        <f t="shared" si="3"/>
        <v>65</v>
      </c>
      <c r="S19" t="s">
        <v>56</v>
      </c>
    </row>
    <row r="20" spans="11:26" x14ac:dyDescent="0.3">
      <c r="L20" s="4">
        <v>1</v>
      </c>
      <c r="M20" s="4">
        <f t="shared" si="2"/>
        <v>4</v>
      </c>
      <c r="N20" s="4">
        <f t="shared" si="2"/>
        <v>4</v>
      </c>
      <c r="Q20" s="4">
        <f t="shared" si="3"/>
        <v>67</v>
      </c>
      <c r="S20" t="s">
        <v>57</v>
      </c>
    </row>
    <row r="21" spans="11:26" x14ac:dyDescent="0.3">
      <c r="L21" s="4">
        <v>1</v>
      </c>
      <c r="M21" s="4">
        <f t="shared" si="2"/>
        <v>4</v>
      </c>
      <c r="N21" s="4">
        <f t="shared" si="2"/>
        <v>3</v>
      </c>
      <c r="Q21" s="4">
        <f t="shared" si="3"/>
        <v>70</v>
      </c>
      <c r="S21" t="s">
        <v>58</v>
      </c>
      <c r="U21" t="s">
        <v>59</v>
      </c>
    </row>
    <row r="22" spans="11:26" x14ac:dyDescent="0.3">
      <c r="L22" s="4">
        <v>1</v>
      </c>
      <c r="M22" s="4">
        <f t="shared" si="2"/>
        <v>5</v>
      </c>
      <c r="N22" s="4">
        <f t="shared" si="2"/>
        <v>2</v>
      </c>
      <c r="Q22" s="4">
        <f t="shared" si="3"/>
        <v>71</v>
      </c>
      <c r="S22" t="s">
        <v>60</v>
      </c>
    </row>
    <row r="23" spans="11:26" x14ac:dyDescent="0.3">
      <c r="T23" t="s">
        <v>61</v>
      </c>
      <c r="V23" t="s">
        <v>62</v>
      </c>
      <c r="W23" s="17">
        <f>_xlfn.T.INV.2T(0.05,5)</f>
        <v>2.570581835636315</v>
      </c>
    </row>
    <row r="24" spans="11:26" x14ac:dyDescent="0.3">
      <c r="K24" t="s">
        <v>12</v>
      </c>
      <c r="L24" s="4" cm="1">
        <f t="array" ref="L24:S26">TRANSPOSE(L15:N22)</f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U24" t="s">
        <v>63</v>
      </c>
      <c r="X24" t="s">
        <v>64</v>
      </c>
      <c r="Z24" t="s">
        <v>65</v>
      </c>
    </row>
    <row r="25" spans="11:26" x14ac:dyDescent="0.3">
      <c r="K25" t="s">
        <v>13</v>
      </c>
      <c r="L25" s="4">
        <v>2</v>
      </c>
      <c r="M25" s="4">
        <v>1</v>
      </c>
      <c r="N25" s="4">
        <v>2</v>
      </c>
      <c r="O25" s="4">
        <v>3</v>
      </c>
      <c r="P25" s="4">
        <v>3</v>
      </c>
      <c r="Q25" s="4">
        <v>4</v>
      </c>
      <c r="R25" s="4">
        <v>4</v>
      </c>
      <c r="S25" s="4">
        <v>5</v>
      </c>
      <c r="X25">
        <f>T11-W23*T14</f>
        <v>35.107396070749836</v>
      </c>
      <c r="Y25" t="s">
        <v>66</v>
      </c>
      <c r="Z25">
        <f>T11+W23*T14</f>
        <v>89.892603929250157</v>
      </c>
    </row>
    <row r="26" spans="11:26" x14ac:dyDescent="0.3">
      <c r="L26" s="4">
        <v>6</v>
      </c>
      <c r="M26" s="4">
        <v>6</v>
      </c>
      <c r="N26" s="4">
        <v>5</v>
      </c>
      <c r="O26" s="4">
        <v>4</v>
      </c>
      <c r="P26" s="4">
        <v>3</v>
      </c>
      <c r="Q26" s="4">
        <v>4</v>
      </c>
      <c r="R26" s="4">
        <v>3</v>
      </c>
      <c r="S26" s="4">
        <v>2</v>
      </c>
      <c r="X26" t="s">
        <v>67</v>
      </c>
      <c r="Z26" t="s">
        <v>68</v>
      </c>
    </row>
    <row r="27" spans="11:26" x14ac:dyDescent="0.3">
      <c r="U27" t="s">
        <v>69</v>
      </c>
    </row>
    <row r="28" spans="11:26" x14ac:dyDescent="0.3">
      <c r="K28" t="s">
        <v>14</v>
      </c>
      <c r="L28" s="4" cm="1">
        <f t="array" ref="L28:N30">MMULT(_xlfn.ANCHORARRAY(L24),L15:N22)</f>
        <v>8</v>
      </c>
      <c r="M28" s="4">
        <v>24</v>
      </c>
      <c r="N28" s="4">
        <v>33</v>
      </c>
      <c r="W28" s="6" t="s">
        <v>41</v>
      </c>
      <c r="X28" s="7">
        <f>(Z25-X25)/2</f>
        <v>27.392603929250161</v>
      </c>
    </row>
    <row r="29" spans="11:26" x14ac:dyDescent="0.3">
      <c r="L29" s="4">
        <v>24</v>
      </c>
      <c r="M29" s="4">
        <v>84</v>
      </c>
      <c r="N29" s="4">
        <v>87</v>
      </c>
      <c r="Q29" t="s">
        <v>42</v>
      </c>
      <c r="R29" s="4">
        <v>1</v>
      </c>
      <c r="S29" s="4">
        <v>6</v>
      </c>
      <c r="T29" s="4">
        <v>8</v>
      </c>
      <c r="V29" t="s">
        <v>70</v>
      </c>
      <c r="X29" s="6" t="s">
        <v>53</v>
      </c>
      <c r="Y29" s="19">
        <f>X28/T11</f>
        <v>0.43828166286800258</v>
      </c>
    </row>
    <row r="30" spans="11:26" x14ac:dyDescent="0.3">
      <c r="L30" s="4">
        <v>33</v>
      </c>
      <c r="M30" s="4">
        <v>87</v>
      </c>
      <c r="N30" s="4">
        <v>151</v>
      </c>
      <c r="Q30" t="s">
        <v>43</v>
      </c>
    </row>
    <row r="32" spans="11:26" x14ac:dyDescent="0.3">
      <c r="K32" t="s">
        <v>15</v>
      </c>
      <c r="M32" s="5" cm="1">
        <f t="array" ref="M32:O34">MINVERSE(_xlfn.ANCHORARRAY(L28))</f>
        <v>18.53260869565214</v>
      </c>
      <c r="N32" s="5">
        <v>-2.7282608695652133</v>
      </c>
      <c r="O32" s="5">
        <v>-2.4782608695652115</v>
      </c>
      <c r="Q32" t="s">
        <v>44</v>
      </c>
      <c r="R32" s="4">
        <v>1</v>
      </c>
      <c r="T32" t="s">
        <v>46</v>
      </c>
      <c r="W32" s="5" cm="1">
        <f t="array" ref="W32:Y32">MMULT(R29:T29,_xlfn.ANCHORARRAY(M32))</f>
        <v>-17.663043478260839</v>
      </c>
      <c r="X32" s="5">
        <v>2.6413043478260838</v>
      </c>
      <c r="Y32" s="5">
        <v>2.391304347826082</v>
      </c>
    </row>
    <row r="33" spans="11:23" x14ac:dyDescent="0.3">
      <c r="M33" s="5">
        <v>-2.7282608695652133</v>
      </c>
      <c r="N33" s="5">
        <v>0.4311594202898546</v>
      </c>
      <c r="O33" s="5">
        <v>0.34782608695652101</v>
      </c>
      <c r="Q33" t="s">
        <v>45</v>
      </c>
      <c r="R33" s="4">
        <v>6</v>
      </c>
      <c r="T33" t="s">
        <v>43</v>
      </c>
    </row>
    <row r="34" spans="11:23" x14ac:dyDescent="0.3">
      <c r="M34" s="5">
        <v>-2.4782608695652124</v>
      </c>
      <c r="N34" s="5">
        <v>0.34782608695652117</v>
      </c>
      <c r="O34" s="5">
        <v>0.34782608695652095</v>
      </c>
      <c r="R34" s="4">
        <v>8</v>
      </c>
    </row>
    <row r="35" spans="11:23" x14ac:dyDescent="0.3">
      <c r="T35" t="s">
        <v>47</v>
      </c>
      <c r="W35" s="5" cm="1">
        <f t="array" ref="W35">MMULT(_xlfn.ANCHORARRAY(W32),R32:R34)</f>
        <v>17.315217391304319</v>
      </c>
    </row>
    <row r="36" spans="11:23" x14ac:dyDescent="0.3">
      <c r="K36" t="s">
        <v>16</v>
      </c>
      <c r="L36" s="4" cm="1">
        <f t="array" ref="L36:L38">MMULT(_xlfn.ANCHORARRAY(L24),Q15:Q22)</f>
        <v>502</v>
      </c>
      <c r="N36" s="7" t="s">
        <v>17</v>
      </c>
      <c r="O36" s="8" cm="1">
        <f t="array" ref="O36:O38">MMULT(_xlfn.ANCHORARRAY(M32),_xlfn.ANCHORARRAY(L36))</f>
        <v>63.500000000000909</v>
      </c>
      <c r="P36" t="s">
        <v>19</v>
      </c>
      <c r="T36" t="s">
        <v>49</v>
      </c>
      <c r="W36" t="s">
        <v>48</v>
      </c>
    </row>
    <row r="37" spans="11:23" x14ac:dyDescent="0.3">
      <c r="L37" s="4">
        <v>1560</v>
      </c>
      <c r="N37" s="9"/>
      <c r="O37" s="8">
        <v>2.5</v>
      </c>
      <c r="P37" t="s">
        <v>20</v>
      </c>
    </row>
    <row r="38" spans="11:23" x14ac:dyDescent="0.3">
      <c r="L38" s="4">
        <v>2011</v>
      </c>
      <c r="N38" s="9"/>
      <c r="O38" s="8">
        <v>-2</v>
      </c>
      <c r="P38" t="s">
        <v>21</v>
      </c>
    </row>
    <row r="39" spans="11:23" x14ac:dyDescent="0.3">
      <c r="O39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D90E-5C09-4446-B939-F7B156EBDD67}">
  <dimension ref="A1:D9"/>
  <sheetViews>
    <sheetView workbookViewId="0">
      <selection activeCell="A11" sqref="A11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1</v>
      </c>
      <c r="B2" s="2">
        <v>55</v>
      </c>
      <c r="C2" s="2">
        <v>2</v>
      </c>
      <c r="D2" s="2">
        <v>6</v>
      </c>
    </row>
    <row r="3" spans="1:4" x14ac:dyDescent="0.3">
      <c r="A3" s="2">
        <v>2</v>
      </c>
      <c r="B3" s="2">
        <v>57</v>
      </c>
      <c r="C3" s="2">
        <v>1</v>
      </c>
      <c r="D3" s="2">
        <v>6</v>
      </c>
    </row>
    <row r="4" spans="1:4" x14ac:dyDescent="0.3">
      <c r="A4" s="2">
        <v>3</v>
      </c>
      <c r="B4" s="2">
        <v>56</v>
      </c>
      <c r="C4" s="2">
        <v>2</v>
      </c>
      <c r="D4" s="2">
        <v>5</v>
      </c>
    </row>
    <row r="5" spans="1:4" x14ac:dyDescent="0.3">
      <c r="A5" s="2">
        <v>4</v>
      </c>
      <c r="B5" s="2">
        <v>61</v>
      </c>
      <c r="C5" s="2">
        <v>3</v>
      </c>
      <c r="D5" s="2">
        <v>4</v>
      </c>
    </row>
    <row r="6" spans="1:4" x14ac:dyDescent="0.3">
      <c r="A6" s="2">
        <v>5</v>
      </c>
      <c r="B6" s="2">
        <v>65</v>
      </c>
      <c r="C6" s="2">
        <v>3</v>
      </c>
      <c r="D6" s="2">
        <v>3</v>
      </c>
    </row>
    <row r="7" spans="1:4" x14ac:dyDescent="0.3">
      <c r="A7" s="2">
        <v>6</v>
      </c>
      <c r="B7" s="2">
        <v>67</v>
      </c>
      <c r="C7" s="2">
        <v>4</v>
      </c>
      <c r="D7" s="2">
        <v>4</v>
      </c>
    </row>
    <row r="8" spans="1:4" x14ac:dyDescent="0.3">
      <c r="A8" s="2">
        <v>7</v>
      </c>
      <c r="B8" s="2">
        <v>70</v>
      </c>
      <c r="C8" s="2">
        <v>4</v>
      </c>
      <c r="D8" s="2">
        <v>3</v>
      </c>
    </row>
    <row r="9" spans="1:4" x14ac:dyDescent="0.3">
      <c r="A9" s="2">
        <v>8</v>
      </c>
      <c r="B9" s="2">
        <v>71</v>
      </c>
      <c r="C9" s="2">
        <v>5</v>
      </c>
      <c r="D9" s="2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DFD8-DF2E-4DEC-A6CB-BC0E0C36B522}">
  <dimension ref="J3:M16"/>
  <sheetViews>
    <sheetView workbookViewId="0">
      <selection activeCell="I22" sqref="I22"/>
    </sheetView>
  </sheetViews>
  <sheetFormatPr defaultRowHeight="14.4" x14ac:dyDescent="0.3"/>
  <sheetData>
    <row r="3" spans="10:13" x14ac:dyDescent="0.3">
      <c r="J3" t="s">
        <v>71</v>
      </c>
      <c r="K3" t="s">
        <v>1</v>
      </c>
      <c r="L3" t="s">
        <v>2</v>
      </c>
      <c r="M3" t="s">
        <v>3</v>
      </c>
    </row>
    <row r="4" spans="10:13" x14ac:dyDescent="0.3">
      <c r="J4">
        <v>1</v>
      </c>
      <c r="K4">
        <v>12</v>
      </c>
      <c r="L4">
        <v>5</v>
      </c>
      <c r="M4">
        <v>123</v>
      </c>
    </row>
    <row r="5" spans="10:13" x14ac:dyDescent="0.3">
      <c r="J5">
        <v>2</v>
      </c>
      <c r="K5">
        <v>13</v>
      </c>
      <c r="L5">
        <v>5.5</v>
      </c>
      <c r="M5">
        <v>128</v>
      </c>
    </row>
    <row r="6" spans="10:13" x14ac:dyDescent="0.3">
      <c r="J6">
        <v>3</v>
      </c>
      <c r="K6">
        <v>12.5</v>
      </c>
      <c r="L6">
        <v>6</v>
      </c>
      <c r="M6">
        <v>133</v>
      </c>
    </row>
    <row r="7" spans="10:13" x14ac:dyDescent="0.3">
      <c r="J7">
        <v>4</v>
      </c>
      <c r="K7">
        <v>14</v>
      </c>
      <c r="L7">
        <v>7</v>
      </c>
      <c r="M7">
        <v>140</v>
      </c>
    </row>
    <row r="8" spans="10:13" x14ac:dyDescent="0.3">
      <c r="J8">
        <v>5</v>
      </c>
      <c r="K8">
        <v>16</v>
      </c>
      <c r="L8">
        <v>7.5</v>
      </c>
      <c r="M8">
        <v>145</v>
      </c>
    </row>
    <row r="9" spans="10:13" x14ac:dyDescent="0.3">
      <c r="J9">
        <v>6</v>
      </c>
      <c r="K9">
        <v>16.5</v>
      </c>
      <c r="L9">
        <v>8</v>
      </c>
      <c r="M9">
        <v>152</v>
      </c>
    </row>
    <row r="10" spans="10:13" x14ac:dyDescent="0.3">
      <c r="J10">
        <v>7</v>
      </c>
      <c r="K10">
        <v>17</v>
      </c>
      <c r="L10">
        <v>9</v>
      </c>
      <c r="M10">
        <v>163</v>
      </c>
    </row>
    <row r="11" spans="10:13" x14ac:dyDescent="0.3">
      <c r="J11">
        <v>8</v>
      </c>
      <c r="K11">
        <v>18</v>
      </c>
      <c r="L11">
        <v>9.5</v>
      </c>
      <c r="M11">
        <v>165</v>
      </c>
    </row>
    <row r="12" spans="10:13" x14ac:dyDescent="0.3">
      <c r="J12">
        <v>9</v>
      </c>
      <c r="K12">
        <v>19</v>
      </c>
      <c r="L12">
        <v>10</v>
      </c>
      <c r="M12">
        <v>172</v>
      </c>
    </row>
    <row r="13" spans="10:13" x14ac:dyDescent="0.3">
      <c r="J13">
        <v>10</v>
      </c>
      <c r="L13">
        <f>AVERAGE(L11:L12)</f>
        <v>9.75</v>
      </c>
      <c r="M13">
        <f>SUMPRODUCT(M11:M12,K15:K16)</f>
        <v>169.89999999999998</v>
      </c>
    </row>
    <row r="15" spans="10:13" x14ac:dyDescent="0.3">
      <c r="J15" t="s">
        <v>72</v>
      </c>
      <c r="K15">
        <v>0.3</v>
      </c>
    </row>
    <row r="16" spans="10:13" x14ac:dyDescent="0.3">
      <c r="J16" t="s">
        <v>73</v>
      </c>
      <c r="K16">
        <v>0.7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AA48-1E01-4131-8E97-54CB72D98A51}">
  <dimension ref="A1:D14"/>
  <sheetViews>
    <sheetView tabSelected="1" workbookViewId="0">
      <selection activeCell="C23" sqref="C23"/>
    </sheetView>
  </sheetViews>
  <sheetFormatPr defaultRowHeight="14.4" x14ac:dyDescent="0.3"/>
  <sheetData>
    <row r="1" spans="1:4" x14ac:dyDescent="0.3">
      <c r="A1" t="s">
        <v>71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12</v>
      </c>
      <c r="C2">
        <v>5</v>
      </c>
      <c r="D2">
        <v>123</v>
      </c>
    </row>
    <row r="3" spans="1:4" x14ac:dyDescent="0.3">
      <c r="A3">
        <v>2</v>
      </c>
      <c r="B3">
        <v>13</v>
      </c>
      <c r="C3">
        <v>5.5</v>
      </c>
      <c r="D3">
        <v>128</v>
      </c>
    </row>
    <row r="4" spans="1:4" x14ac:dyDescent="0.3">
      <c r="A4">
        <v>3</v>
      </c>
      <c r="B4">
        <v>12.5</v>
      </c>
      <c r="C4">
        <v>6</v>
      </c>
      <c r="D4">
        <v>133</v>
      </c>
    </row>
    <row r="5" spans="1:4" x14ac:dyDescent="0.3">
      <c r="A5">
        <v>4</v>
      </c>
      <c r="B5">
        <v>14</v>
      </c>
      <c r="C5">
        <v>7</v>
      </c>
      <c r="D5">
        <v>140</v>
      </c>
    </row>
    <row r="6" spans="1:4" x14ac:dyDescent="0.3">
      <c r="A6">
        <v>5</v>
      </c>
      <c r="B6">
        <v>16</v>
      </c>
      <c r="C6">
        <v>7.5</v>
      </c>
      <c r="D6">
        <v>145</v>
      </c>
    </row>
    <row r="7" spans="1:4" x14ac:dyDescent="0.3">
      <c r="A7">
        <v>6</v>
      </c>
      <c r="B7">
        <v>16.5</v>
      </c>
      <c r="C7">
        <v>8</v>
      </c>
      <c r="D7">
        <v>152</v>
      </c>
    </row>
    <row r="8" spans="1:4" x14ac:dyDescent="0.3">
      <c r="A8">
        <v>7</v>
      </c>
      <c r="B8">
        <v>17</v>
      </c>
      <c r="C8">
        <v>9</v>
      </c>
      <c r="D8">
        <v>163</v>
      </c>
    </row>
    <row r="9" spans="1:4" x14ac:dyDescent="0.3">
      <c r="A9">
        <v>8</v>
      </c>
      <c r="B9">
        <v>18</v>
      </c>
      <c r="C9">
        <v>9.5</v>
      </c>
      <c r="D9">
        <v>165</v>
      </c>
    </row>
    <row r="10" spans="1:4" x14ac:dyDescent="0.3">
      <c r="A10">
        <v>9</v>
      </c>
      <c r="B10">
        <v>19</v>
      </c>
      <c r="C10">
        <v>10</v>
      </c>
      <c r="D10">
        <v>172</v>
      </c>
    </row>
    <row r="13" spans="1:4" x14ac:dyDescent="0.3">
      <c r="A13" t="s">
        <v>74</v>
      </c>
    </row>
    <row r="14" spans="1:4" x14ac:dyDescent="0.3">
      <c r="A14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zad1</vt:lpstr>
      <vt:lpstr>to_samo w gretlu</vt:lpstr>
      <vt:lpstr>zad2_gretl</vt:lpstr>
      <vt:lpstr>Arkusz4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prac608</dc:creator>
  <cp:lastModifiedBy>prac608</cp:lastModifiedBy>
  <dcterms:created xsi:type="dcterms:W3CDTF">2026-04-14T07:48:06Z</dcterms:created>
  <dcterms:modified xsi:type="dcterms:W3CDTF">2026-04-14T09:04:11Z</dcterms:modified>
</cp:coreProperties>
</file>