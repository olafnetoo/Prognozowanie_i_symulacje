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95061A83-A30B-44A2-842A-620726FBFF42}" xr6:coauthVersionLast="47" xr6:coauthVersionMax="47" xr10:uidLastSave="{00000000-0000-0000-0000-000000000000}"/>
  <bookViews>
    <workbookView xWindow="-108" yWindow="-108" windowWidth="23256" windowHeight="12456" activeTab="5" xr2:uid="{77F83A4A-FCFB-4AD2-8380-C974F3AD45E5}"/>
  </bookViews>
  <sheets>
    <sheet name="sekcja 1" sheetId="1" r:id="rId1"/>
    <sheet name="sekcja" sheetId="2" r:id="rId2"/>
    <sheet name="Arkusz3" sheetId="3" r:id="rId3"/>
    <sheet name="sekcja3" sheetId="4" r:id="rId4"/>
    <sheet name="Arkusz5" sheetId="5" r:id="rId5"/>
    <sheet name="sekcja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2" l="1"/>
  <c r="J22" i="2"/>
  <c r="J15" i="2"/>
  <c r="K26" i="1" l="1"/>
  <c r="K25" i="1"/>
  <c r="K24" i="1"/>
  <c r="G13" i="1"/>
  <c r="G14" i="1"/>
  <c r="G15" i="1"/>
  <c r="G16" i="1"/>
  <c r="G17" i="1"/>
  <c r="G18" i="1"/>
  <c r="G19" i="1"/>
  <c r="G20" i="1"/>
  <c r="G21" i="1"/>
  <c r="G12" i="1"/>
  <c r="H26" i="1"/>
  <c r="H25" i="1"/>
  <c r="H24" i="1"/>
  <c r="F13" i="1"/>
  <c r="F14" i="1"/>
  <c r="F15" i="1"/>
  <c r="F16" i="1"/>
  <c r="F17" i="1"/>
  <c r="F18" i="1"/>
  <c r="F19" i="1"/>
  <c r="F20" i="1"/>
  <c r="F21" i="1"/>
  <c r="F12" i="1"/>
  <c r="E14" i="1"/>
  <c r="E15" i="1"/>
  <c r="E16" i="1"/>
  <c r="E17" i="1"/>
  <c r="E18" i="1"/>
  <c r="E19" i="1"/>
  <c r="E20" i="1"/>
  <c r="E21" i="1"/>
  <c r="E22" i="1"/>
  <c r="E13" i="1"/>
  <c r="E12" i="1"/>
  <c r="I6" i="1"/>
  <c r="D13" i="1"/>
  <c r="D14" i="1"/>
  <c r="D15" i="1"/>
  <c r="D16" i="1"/>
  <c r="D17" i="1"/>
  <c r="D18" i="1"/>
  <c r="D19" i="1"/>
  <c r="D20" i="1"/>
  <c r="D21" i="1"/>
  <c r="D22" i="1"/>
  <c r="D12" i="1"/>
  <c r="D27" i="1"/>
  <c r="D26" i="1"/>
  <c r="D25" i="1"/>
  <c r="D24" i="1"/>
</calcChain>
</file>

<file path=xl/sharedStrings.xml><?xml version="1.0" encoding="utf-8"?>
<sst xmlns="http://schemas.openxmlformats.org/spreadsheetml/2006/main" count="129" uniqueCount="91">
  <si>
    <t>Dane z lat 2010 - 2023 dotyczące wartości sprzedaży w tys. zł:</t>
  </si>
  <si>
    <t>Rok</t>
  </si>
  <si>
    <t>Sprzedaż</t>
  </si>
  <si>
    <t>rok</t>
  </si>
  <si>
    <t>sprzedaż</t>
  </si>
  <si>
    <t>k=</t>
  </si>
  <si>
    <t>średnia</t>
  </si>
  <si>
    <t>wariancja</t>
  </si>
  <si>
    <t>odchyl.</t>
  </si>
  <si>
    <t>wsp.zm</t>
  </si>
  <si>
    <t>y*</t>
  </si>
  <si>
    <t>-</t>
  </si>
  <si>
    <t>tyle ile k tyle do sumy</t>
  </si>
  <si>
    <t>lepsza ważona od prestej-pyt 1</t>
  </si>
  <si>
    <t>2.</t>
  </si>
  <si>
    <t>3.</t>
  </si>
  <si>
    <r>
      <t>Prognoza sprzedaży dla roku 2024 wykonana </t>
    </r>
    <r>
      <rPr>
        <b/>
        <sz val="9"/>
        <color rgb="FF333333"/>
        <rFont val="Arial"/>
        <family val="2"/>
        <charset val="238"/>
      </rPr>
      <t>metodą średniej ruchomej ważonej</t>
    </r>
    <r>
      <rPr>
        <sz val="9"/>
        <color rgb="FF333333"/>
        <rFont val="Arial"/>
        <family val="2"/>
        <charset val="238"/>
      </rPr>
      <t> ze stałą </t>
    </r>
    <r>
      <rPr>
        <b/>
        <sz val="9"/>
        <color rgb="FF333333"/>
        <rFont val="Arial"/>
        <family val="2"/>
        <charset val="238"/>
      </rPr>
      <t>k=4</t>
    </r>
    <r>
      <rPr>
        <sz val="9"/>
        <color rgb="FF333333"/>
        <rFont val="Arial"/>
        <family val="2"/>
        <charset val="238"/>
      </rPr>
      <t> i wagach </t>
    </r>
    <r>
      <rPr>
        <b/>
        <sz val="9"/>
        <color rgb="FF333333"/>
        <rFont val="Arial"/>
        <family val="2"/>
        <charset val="238"/>
      </rPr>
      <t>w</t>
    </r>
    <r>
      <rPr>
        <b/>
        <sz val="7"/>
        <color rgb="FF333333"/>
        <rFont val="Arial"/>
        <family val="2"/>
        <charset val="238"/>
      </rPr>
      <t>1</t>
    </r>
    <r>
      <rPr>
        <b/>
        <sz val="9"/>
        <color rgb="FF333333"/>
        <rFont val="Arial"/>
        <family val="2"/>
        <charset val="238"/>
      </rPr>
      <t>=0,1; w</t>
    </r>
    <r>
      <rPr>
        <b/>
        <sz val="7"/>
        <color rgb="FF333333"/>
        <rFont val="Arial"/>
        <family val="2"/>
        <charset val="238"/>
      </rPr>
      <t>2</t>
    </r>
    <r>
      <rPr>
        <b/>
        <sz val="9"/>
        <color rgb="FF333333"/>
        <rFont val="Arial"/>
        <family val="2"/>
        <charset val="238"/>
      </rPr>
      <t>=0,2;</t>
    </r>
    <r>
      <rPr>
        <sz val="9"/>
        <color rgb="FF333333"/>
        <rFont val="Arial"/>
        <family val="2"/>
        <charset val="238"/>
      </rPr>
      <t> </t>
    </r>
    <r>
      <rPr>
        <b/>
        <sz val="9"/>
        <color rgb="FF333333"/>
        <rFont val="Arial"/>
        <family val="2"/>
        <charset val="238"/>
      </rPr>
      <t>w</t>
    </r>
    <r>
      <rPr>
        <b/>
        <sz val="7"/>
        <color rgb="FF333333"/>
        <rFont val="Arial"/>
        <family val="2"/>
        <charset val="238"/>
      </rPr>
      <t>3</t>
    </r>
    <r>
      <rPr>
        <b/>
        <sz val="9"/>
        <color rgb="FF333333"/>
        <rFont val="Arial"/>
        <family val="2"/>
        <charset val="238"/>
      </rPr>
      <t>=? ;w</t>
    </r>
    <r>
      <rPr>
        <b/>
        <sz val="7"/>
        <color rgb="FF333333"/>
        <rFont val="Arial"/>
        <family val="2"/>
        <charset val="238"/>
      </rPr>
      <t>4</t>
    </r>
    <r>
      <rPr>
        <b/>
        <sz val="9"/>
        <color rgb="FF333333"/>
        <rFont val="Arial"/>
        <family val="2"/>
        <charset val="238"/>
      </rPr>
      <t>=0,4 </t>
    </r>
    <r>
      <rPr>
        <sz val="9"/>
        <color rgb="FF333333"/>
        <rFont val="Arial"/>
        <family val="2"/>
        <charset val="238"/>
      </rPr>
      <t>wynosi</t>
    </r>
  </si>
  <si>
    <t>w1=0,1; w2=0,2; w3=? ;w4=0,4</t>
  </si>
  <si>
    <t>w3=</t>
  </si>
  <si>
    <t>Y*z waga</t>
  </si>
  <si>
    <t>w1</t>
  </si>
  <si>
    <t>w2</t>
  </si>
  <si>
    <t>w4</t>
  </si>
  <si>
    <t>4.</t>
  </si>
  <si>
    <r>
      <t>Wartość </t>
    </r>
    <r>
      <rPr>
        <b/>
        <sz val="9"/>
        <color rgb="FF333333"/>
        <rFont val="Arial"/>
        <family val="2"/>
        <charset val="238"/>
      </rPr>
      <t>średniego kwadratowego błędu prognoz ex post</t>
    </r>
    <r>
      <rPr>
        <sz val="9"/>
        <color rgb="FF333333"/>
        <rFont val="Arial"/>
        <family val="2"/>
        <charset val="238"/>
      </rPr>
      <t> (S2p) dla średniej ruchomej ważonej ze stałą </t>
    </r>
    <r>
      <rPr>
        <b/>
        <sz val="9"/>
        <color rgb="FF333333"/>
        <rFont val="Arial"/>
        <family val="2"/>
        <charset val="238"/>
      </rPr>
      <t>k=4</t>
    </r>
    <r>
      <rPr>
        <sz val="9"/>
        <color rgb="FF333333"/>
        <rFont val="Arial"/>
        <family val="2"/>
        <charset val="238"/>
      </rPr>
      <t> i wagach </t>
    </r>
    <r>
      <rPr>
        <b/>
        <sz val="9"/>
        <color rgb="FF333333"/>
        <rFont val="Arial"/>
        <family val="2"/>
        <charset val="238"/>
      </rPr>
      <t>w</t>
    </r>
    <r>
      <rPr>
        <b/>
        <sz val="7"/>
        <color rgb="FF333333"/>
        <rFont val="Arial"/>
        <family val="2"/>
        <charset val="238"/>
      </rPr>
      <t>1</t>
    </r>
    <r>
      <rPr>
        <b/>
        <sz val="9"/>
        <color rgb="FF333333"/>
        <rFont val="Arial"/>
        <family val="2"/>
        <charset val="238"/>
      </rPr>
      <t>=0,1 ;</t>
    </r>
    <r>
      <rPr>
        <sz val="9"/>
        <color rgb="FF333333"/>
        <rFont val="Arial"/>
        <family val="2"/>
        <charset val="238"/>
      </rPr>
      <t> </t>
    </r>
    <r>
      <rPr>
        <b/>
        <sz val="9"/>
        <color rgb="FF333333"/>
        <rFont val="Arial"/>
        <family val="2"/>
        <charset val="238"/>
      </rPr>
      <t>w</t>
    </r>
    <r>
      <rPr>
        <b/>
        <sz val="7"/>
        <color rgb="FF333333"/>
        <rFont val="Arial"/>
        <family val="2"/>
        <charset val="238"/>
      </rPr>
      <t>2</t>
    </r>
    <r>
      <rPr>
        <b/>
        <sz val="9"/>
        <color rgb="FF333333"/>
        <rFont val="Arial"/>
        <family val="2"/>
        <charset val="238"/>
      </rPr>
      <t>=0,2, w</t>
    </r>
    <r>
      <rPr>
        <b/>
        <sz val="7"/>
        <color rgb="FF333333"/>
        <rFont val="Arial"/>
        <family val="2"/>
        <charset val="238"/>
      </rPr>
      <t>3</t>
    </r>
    <r>
      <rPr>
        <b/>
        <sz val="9"/>
        <color rgb="FF333333"/>
        <rFont val="Arial"/>
        <family val="2"/>
        <charset val="238"/>
      </rPr>
      <t>= ? w</t>
    </r>
    <r>
      <rPr>
        <b/>
        <sz val="7"/>
        <color rgb="FF333333"/>
        <rFont val="Arial"/>
        <family val="2"/>
        <charset val="238"/>
      </rPr>
      <t>4</t>
    </r>
    <r>
      <rPr>
        <b/>
        <sz val="9"/>
        <color rgb="FF333333"/>
        <rFont val="Arial"/>
        <family val="2"/>
        <charset val="238"/>
      </rPr>
      <t>= 0,4 </t>
    </r>
    <r>
      <rPr>
        <sz val="9"/>
        <color rgb="FF333333"/>
        <rFont val="Arial"/>
        <family val="2"/>
        <charset val="238"/>
      </rPr>
      <t>wynosi:</t>
    </r>
  </si>
  <si>
    <t>(y-Yśrwag_^2</t>
  </si>
  <si>
    <t>sedni bł</t>
  </si>
  <si>
    <t>vp</t>
  </si>
  <si>
    <t>y-y*</t>
  </si>
  <si>
    <t>z waga</t>
  </si>
  <si>
    <t>prosta</t>
  </si>
  <si>
    <t>śr bł</t>
  </si>
  <si>
    <t>Dana jest tablica zawierająca kształtowanie się zmiennej Y (przychody w tys.zł)  w czasie:</t>
  </si>
  <si>
    <t>Y</t>
  </si>
  <si>
    <t>Poziom istotności alfa=0,05</t>
  </si>
  <si>
    <t>5.</t>
  </si>
  <si>
    <t>prosta lepsza</t>
  </si>
  <si>
    <t>śr bł dla prostej</t>
  </si>
  <si>
    <t>1.R^2=</t>
  </si>
  <si>
    <t>Odchylenie standardowe reszt Se w oszacowanym modelu trendu liniowego zmiennej Y wyniesie:</t>
  </si>
  <si>
    <t>Wsp. determ. R-kwadrat  0,966062</t>
  </si>
  <si>
    <t>Błąd standardowy reszt  3,418233</t>
  </si>
  <si>
    <t>Błąd względny ex ante prognozy punktowej  z modelu trendu liniowego dla zmiennej Y dla roku 2024 wyniesie (podaj w formacie procentowym - samą liczbę bez znaku %):: </t>
  </si>
  <si>
    <t>y</t>
  </si>
  <si>
    <t>ex ante=</t>
  </si>
  <si>
    <t>odp:</t>
  </si>
  <si>
    <t>Prognoza punktowa zmiennej Y z modelu trendu liniowego dla roku 2024 wyniesie:</t>
  </si>
  <si>
    <t>Wartość oceny parametru kierunkowego w modelu trendu liniowego zmiennej Y wyniesie:</t>
  </si>
  <si>
    <t>z roku 2025-2024</t>
  </si>
  <si>
    <t>137,48-133</t>
  </si>
  <si>
    <t>6.</t>
  </si>
  <si>
    <t>Prognoza punktowa Y dla roku 2025 z modelu trendu liniowego wyniesie:</t>
  </si>
  <si>
    <t>7.</t>
  </si>
  <si>
    <t>Błąd bezwzględny ex ante prognozy punktowej zmiennej Y z modelu trendu liniowego dla roku 2025 wyniesie:</t>
  </si>
  <si>
    <t>8.</t>
  </si>
  <si>
    <t>Określ czy prognoza punktowa Y z modelu trendu liniowego dla roku 2025 jest dopuszczalna czy nie ( wpisz słowo TAK lub słowo NIE)</t>
  </si>
  <si>
    <t>4,086/137,48=</t>
  </si>
  <si>
    <t>Czyli tak</t>
  </si>
  <si>
    <t>&lt;10%</t>
  </si>
  <si>
    <t>Na podstawie danych dotyczących kształtowania się zmiennej objaśnianej Y oraz dwóch zmiennych objaśniających X1 oraz X2 zbudowano model: Y=a0+a1*X1+a2*X2+E</t>
  </si>
  <si>
    <t>X1</t>
  </si>
  <si>
    <t>X2</t>
  </si>
  <si>
    <t>Ocena parametru alfa 0 w modelu wyniesie:</t>
  </si>
  <si>
    <t>1.</t>
  </si>
  <si>
    <t>9.</t>
  </si>
  <si>
    <t>Górna granica prognozy przedziałowej Y dla X1=65 oraz X2=15 w okresie prognozy wyniesie:</t>
  </si>
  <si>
    <t>Marginalny/krańcowy przyrost zmiennej zależnej w modelu względem zmiennej objaśniającej X1 w modelu wyniesie:</t>
  </si>
  <si>
    <t>Przyrost jednostkowy zmiennej Y względem zmiennej X2 w modelu wyniesie:</t>
  </si>
  <si>
    <t>Wartość oczekiwana składnika losowego w modelu wyniesie:</t>
  </si>
  <si>
    <r>
      <t>Prognoza punktowa Y (dla wartości zmiennych objaśniających w okresie prognozy: </t>
    </r>
    <r>
      <rPr>
        <b/>
        <sz val="9"/>
        <color rgb="FF333333"/>
        <rFont val="Arial"/>
        <family val="2"/>
        <charset val="238"/>
      </rPr>
      <t>X1=65 </t>
    </r>
    <r>
      <rPr>
        <sz val="9"/>
        <color rgb="FF333333"/>
        <rFont val="Arial"/>
        <family val="2"/>
        <charset val="238"/>
      </rPr>
      <t>oraz </t>
    </r>
    <r>
      <rPr>
        <b/>
        <sz val="9"/>
        <color rgb="FF333333"/>
        <rFont val="Arial"/>
        <family val="2"/>
        <charset val="238"/>
      </rPr>
      <t>X2=15</t>
    </r>
    <r>
      <rPr>
        <sz val="9"/>
        <color rgb="FF333333"/>
        <rFont val="Arial"/>
        <family val="2"/>
        <charset val="238"/>
      </rPr>
      <t>) wyniesie:</t>
    </r>
  </si>
  <si>
    <t>Błąd bezwzględny prognozy punktowej Y dla X1=65 oraz X2=15 w okresie prognozy wyniesie:</t>
  </si>
  <si>
    <t>Błąd względny prognozy punktowej Y dla X1=65 oraz X2=15 w okresie prognozy wyniesie (wynik wpisz w formacie procentowym, samą liczbę - bez znaku%)</t>
  </si>
  <si>
    <t>Dolna granica prognozy przedziałowej Y dla X1=65 oraz X2=15 w okresie prognozy wyniesie:</t>
  </si>
  <si>
    <t>10.</t>
  </si>
  <si>
    <t>Określ czy prognoza punktowa Y dla X1=65 oraz X2=15 jest dopuszczalna czy nie (wpisz słowo TAK lub słowo NIE):</t>
  </si>
  <si>
    <t>Tak 7,85&lt;10</t>
  </si>
  <si>
    <t>Dana jest tabela zawierająca wartości kształtowania się zmiennej Y w latach 2010-2023</t>
  </si>
  <si>
    <t>Prognoza punktowa Y dla roku 2024 wykonana metodą wyrównywania wykładniczego Browna ze stała wygładzania alfa =0,22 wyniesie (dla roku 2010 jako prognozy użyj wartości empirycznej z tego roku): </t>
  </si>
  <si>
    <t>Wartość prognozy Y dla roku 2024 wykonanej metodą wyrównywania wykładniczego Browna dla stałej wygładzania alfa=0,44 (jako prognozy dla roku 2010 użyj wartości średniej z całego szeregu) wyniesie:</t>
  </si>
  <si>
    <t>Określ wartość stałej wygładzania alfa dla której prognoza Y daje najmniejszy z możliwych wartości pierwiastka ze średniego kwadratowego błędu ex post (Sp/RMSE) (prognoza Y w 2010=wartość empiryczna Y z 2010) - wartość stałej wygładzania podaj do 4 miejsc po przecinku</t>
  </si>
  <si>
    <t>Wartość pierwiastka ze średniego kwadratowego błędu ex post (Sp/RMSE) dla stałej wygładzania alfa=0,44 (dla roku 2010 jako prognozy użyj średniej z wartości empirycznych Y z całego szeregu) wyniesie:</t>
  </si>
  <si>
    <t>Wartość względnego błędu prognozy ex post dla stałej wygładzania alfa=0,22 (jako prognozy dla roku 2010 użyj wartości empirycznej Y z tegoż roku) wyniesie - wartość błędu podaj w formacie procentowym - samą liczbę - bez znaku%</t>
  </si>
  <si>
    <t>Podaj wartość prognozy Y dla  roku 2020, dla stałej wygładzania 0,22 (przy założeniu, że prognoza dla 1 okresu równa się wartości empirycznej z tego okresu) :</t>
  </si>
  <si>
    <t>Określ który z modeli adaptacyjnych znajduje zastosowanie w prognozowaniu szeregów charakteryzujących się trendem oraz wahaniami sezonowymi i losowymi</t>
  </si>
  <si>
    <t>Pytanie 30Wybierz jedną odpowiedź:</t>
  </si>
  <si>
    <t>A.</t>
  </si>
  <si>
    <t>Wintersa</t>
  </si>
  <si>
    <t>B.</t>
  </si>
  <si>
    <t>Browna</t>
  </si>
  <si>
    <t>C.</t>
  </si>
  <si>
    <t>Holta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</si>
</sst>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9"/>
      <color rgb="FF333333"/>
      <name val="Arial"/>
      <family val="2"/>
      <charset val="238"/>
    </font>
    <font>
      <b/>
      <sz val="9"/>
      <color rgb="FF333333"/>
      <name val="Arial"/>
      <family val="2"/>
      <charset val="238"/>
    </font>
    <font>
      <b/>
      <sz val="7"/>
      <color rgb="FF333333"/>
      <name val="Arial"/>
      <family val="2"/>
      <charset val="238"/>
    </font>
    <font>
      <sz val="11"/>
      <color rgb="FF333333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0" fontId="0" fillId="0" borderId="0" xfId="0" applyNumberFormat="1"/>
    <xf numFmtId="0" fontId="0" fillId="0" borderId="0" xfId="0" quotePrefix="1"/>
    <xf numFmtId="0" fontId="0" fillId="3" borderId="0" xfId="0" applyFill="1"/>
    <xf numFmtId="0" fontId="1" fillId="0" borderId="0" xfId="0" applyFont="1"/>
    <xf numFmtId="2" fontId="0" fillId="3" borderId="0" xfId="0" applyNumberFormat="1" applyFill="1"/>
    <xf numFmtId="10" fontId="0" fillId="0" borderId="0" xfId="0" applyNumberFormat="1" applyFill="1"/>
    <xf numFmtId="0" fontId="1" fillId="0" borderId="0" xfId="0" applyFont="1" applyAlignment="1">
      <alignment horizontal="left" vertical="center" wrapTex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</xdr:colOff>
      <xdr:row>5</xdr:row>
      <xdr:rowOff>30480</xdr:rowOff>
    </xdr:from>
    <xdr:to>
      <xdr:col>15</xdr:col>
      <xdr:colOff>499671</xdr:colOff>
      <xdr:row>14</xdr:row>
      <xdr:rowOff>4036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5BA2A7E-656B-42E6-BCE9-60569CC9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3560" y="944880"/>
          <a:ext cx="4020111" cy="1619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411480</xdr:colOff>
      <xdr:row>0</xdr:row>
      <xdr:rowOff>76200</xdr:rowOff>
    </xdr:from>
    <xdr:to>
      <xdr:col>10</xdr:col>
      <xdr:colOff>368522</xdr:colOff>
      <xdr:row>17</xdr:row>
      <xdr:rowOff>2443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E62F0FE-2AE2-4517-8E1A-64C27568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" y="76200"/>
          <a:ext cx="4833842" cy="3035203"/>
        </a:xfrm>
        <a:prstGeom prst="rect">
          <a:avLst/>
        </a:prstGeom>
      </xdr:spPr>
    </xdr:pic>
    <xdr:clientData/>
  </xdr:twoCellAnchor>
  <xdr:twoCellAnchor editAs="oneCell">
    <xdr:from>
      <xdr:col>10</xdr:col>
      <xdr:colOff>601980</xdr:colOff>
      <xdr:row>0</xdr:row>
      <xdr:rowOff>175261</xdr:rowOff>
    </xdr:from>
    <xdr:to>
      <xdr:col>18</xdr:col>
      <xdr:colOff>141824</xdr:colOff>
      <xdr:row>15</xdr:row>
      <xdr:rowOff>135707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1D92EA4-296E-426D-857C-09570C442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7980" y="175261"/>
          <a:ext cx="4416644" cy="2703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58860</xdr:colOff>
      <xdr:row>10</xdr:row>
      <xdr:rowOff>124098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8CA3A2C-708E-4D5C-A823-FC35A824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50860" cy="1952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220980</xdr:colOff>
      <xdr:row>0</xdr:row>
      <xdr:rowOff>129540</xdr:rowOff>
    </xdr:from>
    <xdr:to>
      <xdr:col>14</xdr:col>
      <xdr:colOff>298041</xdr:colOff>
      <xdr:row>21</xdr:row>
      <xdr:rowOff>147223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9A23174-C11A-4BEA-95C0-DAB6F4C4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9380" y="129540"/>
          <a:ext cx="6173061" cy="3858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228600</xdr:colOff>
          <xdr:row>22</xdr:row>
          <xdr:rowOff>60960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24223D68-F4A1-41B4-80F7-5E2BD2AA7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2</xdr:col>
          <xdr:colOff>228600</xdr:colOff>
          <xdr:row>25</xdr:row>
          <xdr:rowOff>60960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B7EBE0D4-A73A-49BA-8CF7-176D678BF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228600</xdr:colOff>
          <xdr:row>28</xdr:row>
          <xdr:rowOff>60960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32727783-81F1-477E-A877-D687808D2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B265-06AD-4124-97E5-201781CE9E5C}">
  <dimension ref="A2:S27"/>
  <sheetViews>
    <sheetView topLeftCell="C4" workbookViewId="0">
      <selection activeCell="R18" sqref="R18"/>
    </sheetView>
  </sheetViews>
  <sheetFormatPr defaultRowHeight="14.4" x14ac:dyDescent="0.3"/>
  <sheetData>
    <row r="2" spans="1:19" x14ac:dyDescent="0.3">
      <c r="A2" s="2" t="s">
        <v>0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spans="1:19" x14ac:dyDescent="0.3">
      <c r="A3" s="1" t="s">
        <v>1</v>
      </c>
      <c r="B3" s="1">
        <v>2010</v>
      </c>
      <c r="C3" s="1">
        <v>2011</v>
      </c>
      <c r="D3" s="1">
        <v>2012</v>
      </c>
      <c r="E3" s="1">
        <v>2013</v>
      </c>
      <c r="F3" s="1">
        <v>2014</v>
      </c>
      <c r="G3" s="1">
        <v>2015</v>
      </c>
      <c r="H3" s="1">
        <v>2016</v>
      </c>
      <c r="I3" s="1">
        <v>2017</v>
      </c>
      <c r="J3" s="1">
        <v>2018</v>
      </c>
      <c r="K3" s="1">
        <v>2019</v>
      </c>
      <c r="L3" s="1">
        <v>2020</v>
      </c>
      <c r="M3" s="1">
        <v>2021</v>
      </c>
      <c r="N3" s="1">
        <v>2022</v>
      </c>
      <c r="O3" s="1">
        <v>2023</v>
      </c>
    </row>
    <row r="4" spans="1:19" x14ac:dyDescent="0.3">
      <c r="A4" s="1" t="s">
        <v>2</v>
      </c>
      <c r="B4" s="1">
        <v>350</v>
      </c>
      <c r="C4" s="1">
        <v>347</v>
      </c>
      <c r="D4" s="1">
        <v>333</v>
      </c>
      <c r="E4" s="1">
        <v>315</v>
      </c>
      <c r="F4" s="1">
        <v>325</v>
      </c>
      <c r="G4" s="1">
        <v>340</v>
      </c>
      <c r="H4" s="1">
        <v>324</v>
      </c>
      <c r="I4" s="1">
        <v>332</v>
      </c>
      <c r="J4" s="1">
        <v>324</v>
      </c>
      <c r="K4" s="1">
        <v>348</v>
      </c>
      <c r="L4" s="1">
        <v>332</v>
      </c>
      <c r="M4" s="1">
        <v>340</v>
      </c>
      <c r="N4" s="1">
        <v>348</v>
      </c>
      <c r="O4" s="1">
        <v>356</v>
      </c>
    </row>
    <row r="6" spans="1:19" x14ac:dyDescent="0.3">
      <c r="B6" t="s">
        <v>5</v>
      </c>
      <c r="C6">
        <v>4</v>
      </c>
      <c r="E6" t="s">
        <v>17</v>
      </c>
      <c r="H6" t="s">
        <v>18</v>
      </c>
      <c r="I6">
        <f>1-0.1-0.2-0.4</f>
        <v>0.29999999999999993</v>
      </c>
    </row>
    <row r="7" spans="1:19" x14ac:dyDescent="0.3">
      <c r="B7" t="s">
        <v>3</v>
      </c>
      <c r="C7" t="s">
        <v>4</v>
      </c>
      <c r="D7" t="s">
        <v>10</v>
      </c>
      <c r="E7" t="s">
        <v>19</v>
      </c>
      <c r="F7" t="s">
        <v>25</v>
      </c>
      <c r="G7" t="s">
        <v>28</v>
      </c>
      <c r="H7" t="s">
        <v>20</v>
      </c>
      <c r="I7">
        <v>0.1</v>
      </c>
      <c r="Q7" t="s">
        <v>13</v>
      </c>
    </row>
    <row r="8" spans="1:19" x14ac:dyDescent="0.3">
      <c r="B8">
        <v>2010</v>
      </c>
      <c r="C8">
        <v>350</v>
      </c>
      <c r="D8" s="4" t="s">
        <v>11</v>
      </c>
      <c r="E8" s="4" t="s">
        <v>11</v>
      </c>
      <c r="H8" t="s">
        <v>21</v>
      </c>
      <c r="I8">
        <v>0.2</v>
      </c>
    </row>
    <row r="9" spans="1:19" x14ac:dyDescent="0.3">
      <c r="B9">
        <v>2011</v>
      </c>
      <c r="C9">
        <v>347</v>
      </c>
      <c r="D9" s="4" t="s">
        <v>11</v>
      </c>
      <c r="E9" s="4" t="s">
        <v>11</v>
      </c>
      <c r="H9" t="s">
        <v>22</v>
      </c>
      <c r="I9">
        <v>0.4</v>
      </c>
      <c r="Q9" t="s">
        <v>14</v>
      </c>
      <c r="S9">
        <v>344</v>
      </c>
    </row>
    <row r="10" spans="1:19" x14ac:dyDescent="0.3">
      <c r="B10">
        <v>2012</v>
      </c>
      <c r="C10">
        <v>333</v>
      </c>
      <c r="D10" s="4" t="s">
        <v>11</v>
      </c>
      <c r="E10" s="4" t="s">
        <v>11</v>
      </c>
      <c r="Q10" t="s">
        <v>15</v>
      </c>
      <c r="R10" s="6" t="s">
        <v>16</v>
      </c>
    </row>
    <row r="11" spans="1:19" x14ac:dyDescent="0.3">
      <c r="B11">
        <v>2013</v>
      </c>
      <c r="C11">
        <v>315</v>
      </c>
      <c r="D11" s="4" t="s">
        <v>11</v>
      </c>
      <c r="E11" s="4" t="s">
        <v>11</v>
      </c>
      <c r="Q11" t="s">
        <v>23</v>
      </c>
      <c r="R11" s="6" t="s">
        <v>24</v>
      </c>
    </row>
    <row r="12" spans="1:19" x14ac:dyDescent="0.3">
      <c r="B12">
        <v>2014</v>
      </c>
      <c r="C12">
        <v>325</v>
      </c>
      <c r="D12">
        <f>1/$C$6*SUM(C8:C11)</f>
        <v>336.25</v>
      </c>
      <c r="E12">
        <f>C8*I7+C9*I8+C10*I6+C11*I9</f>
        <v>330.29999999999995</v>
      </c>
      <c r="F12">
        <f>(C12-E12)^2</f>
        <v>28.089999999999517</v>
      </c>
      <c r="G12">
        <f>(C12-D12)^2</f>
        <v>126.5625</v>
      </c>
      <c r="Q12" t="s">
        <v>35</v>
      </c>
      <c r="R12" t="s">
        <v>37</v>
      </c>
    </row>
    <row r="13" spans="1:19" x14ac:dyDescent="0.3">
      <c r="B13">
        <v>2015</v>
      </c>
      <c r="C13">
        <v>340</v>
      </c>
      <c r="D13">
        <f t="shared" ref="D13:D22" si="0">1/$C$6*SUM(C9:C12)</f>
        <v>330</v>
      </c>
      <c r="E13">
        <f>C9*$I$7+C10*$I$8+C11*$I$6+$I$9*C12</f>
        <v>325.8</v>
      </c>
      <c r="F13">
        <f t="shared" ref="F13:F21" si="1">(C13-E13)^2</f>
        <v>201.63999999999967</v>
      </c>
      <c r="G13">
        <f t="shared" ref="G13:G21" si="2">(C13-D13)^2</f>
        <v>100</v>
      </c>
    </row>
    <row r="14" spans="1:19" x14ac:dyDescent="0.3">
      <c r="B14">
        <v>2016</v>
      </c>
      <c r="C14">
        <v>324</v>
      </c>
      <c r="D14">
        <f t="shared" si="0"/>
        <v>328.25</v>
      </c>
      <c r="E14">
        <f t="shared" ref="E14:E22" si="3">C10*$I$7+C11*$I$8+C12*$I$6+$I$9*C13</f>
        <v>329.79999999999995</v>
      </c>
      <c r="F14">
        <f t="shared" si="1"/>
        <v>33.639999999999475</v>
      </c>
      <c r="G14">
        <f t="shared" si="2"/>
        <v>18.0625</v>
      </c>
    </row>
    <row r="15" spans="1:19" x14ac:dyDescent="0.3">
      <c r="B15">
        <v>2017</v>
      </c>
      <c r="C15">
        <v>332</v>
      </c>
      <c r="D15">
        <f t="shared" si="0"/>
        <v>326</v>
      </c>
      <c r="E15">
        <f t="shared" si="3"/>
        <v>328.09999999999997</v>
      </c>
      <c r="F15">
        <f t="shared" si="1"/>
        <v>15.210000000000266</v>
      </c>
      <c r="G15">
        <f t="shared" si="2"/>
        <v>36</v>
      </c>
    </row>
    <row r="16" spans="1:19" x14ac:dyDescent="0.3">
      <c r="B16">
        <v>2018</v>
      </c>
      <c r="C16">
        <v>324</v>
      </c>
      <c r="D16">
        <f t="shared" si="0"/>
        <v>330.25</v>
      </c>
      <c r="E16">
        <f t="shared" si="3"/>
        <v>330.5</v>
      </c>
      <c r="F16">
        <f t="shared" si="1"/>
        <v>42.25</v>
      </c>
      <c r="G16">
        <f t="shared" si="2"/>
        <v>39.0625</v>
      </c>
      <c r="L16" t="s">
        <v>12</v>
      </c>
    </row>
    <row r="17" spans="2:13" x14ac:dyDescent="0.3">
      <c r="B17">
        <v>2019</v>
      </c>
      <c r="C17">
        <v>348</v>
      </c>
      <c r="D17">
        <f t="shared" si="0"/>
        <v>330</v>
      </c>
      <c r="E17">
        <f t="shared" si="3"/>
        <v>328</v>
      </c>
      <c r="F17">
        <f t="shared" si="1"/>
        <v>400</v>
      </c>
      <c r="G17">
        <f t="shared" si="2"/>
        <v>324</v>
      </c>
    </row>
    <row r="18" spans="2:13" x14ac:dyDescent="0.3">
      <c r="B18">
        <v>2020</v>
      </c>
      <c r="C18">
        <v>332</v>
      </c>
      <c r="D18">
        <f t="shared" si="0"/>
        <v>332</v>
      </c>
      <c r="E18">
        <f t="shared" si="3"/>
        <v>335.20000000000005</v>
      </c>
      <c r="F18">
        <f t="shared" si="1"/>
        <v>10.240000000000292</v>
      </c>
      <c r="G18">
        <f t="shared" si="2"/>
        <v>0</v>
      </c>
    </row>
    <row r="19" spans="2:13" x14ac:dyDescent="0.3">
      <c r="B19">
        <v>2021</v>
      </c>
      <c r="C19">
        <v>340</v>
      </c>
      <c r="D19">
        <f t="shared" si="0"/>
        <v>334</v>
      </c>
      <c r="E19">
        <f t="shared" si="3"/>
        <v>335.2</v>
      </c>
      <c r="F19">
        <f t="shared" si="1"/>
        <v>23.040000000000109</v>
      </c>
      <c r="G19">
        <f t="shared" si="2"/>
        <v>36</v>
      </c>
    </row>
    <row r="20" spans="2:13" x14ac:dyDescent="0.3">
      <c r="B20">
        <v>2022</v>
      </c>
      <c r="C20">
        <v>348</v>
      </c>
      <c r="D20">
        <f t="shared" si="0"/>
        <v>336</v>
      </c>
      <c r="E20">
        <f t="shared" si="3"/>
        <v>337.59999999999997</v>
      </c>
      <c r="F20">
        <f t="shared" si="1"/>
        <v>108.16000000000071</v>
      </c>
      <c r="G20">
        <f t="shared" si="2"/>
        <v>144</v>
      </c>
    </row>
    <row r="21" spans="2:13" x14ac:dyDescent="0.3">
      <c r="B21">
        <v>2023</v>
      </c>
      <c r="C21">
        <v>356</v>
      </c>
      <c r="D21">
        <f t="shared" si="0"/>
        <v>342</v>
      </c>
      <c r="E21">
        <f t="shared" si="3"/>
        <v>342.4</v>
      </c>
      <c r="F21">
        <f t="shared" si="1"/>
        <v>184.9600000000006</v>
      </c>
      <c r="G21">
        <f t="shared" si="2"/>
        <v>196</v>
      </c>
    </row>
    <row r="22" spans="2:13" x14ac:dyDescent="0.3">
      <c r="B22">
        <v>2024</v>
      </c>
      <c r="D22" s="5">
        <f t="shared" si="0"/>
        <v>344</v>
      </c>
      <c r="E22" s="5">
        <f t="shared" si="3"/>
        <v>348</v>
      </c>
    </row>
    <row r="23" spans="2:13" x14ac:dyDescent="0.3">
      <c r="G23" t="s">
        <v>29</v>
      </c>
      <c r="J23" t="s">
        <v>30</v>
      </c>
    </row>
    <row r="24" spans="2:13" x14ac:dyDescent="0.3">
      <c r="C24" t="s">
        <v>6</v>
      </c>
      <c r="D24">
        <f>AVERAGE(C8:C21)</f>
        <v>336.71428571428572</v>
      </c>
      <c r="G24" t="s">
        <v>26</v>
      </c>
      <c r="H24" s="5">
        <f>AVERAGE(F12:F21)</f>
        <v>104.72300000000004</v>
      </c>
      <c r="J24" t="s">
        <v>31</v>
      </c>
      <c r="K24" s="7">
        <f>AVERAGE(G12:G21)</f>
        <v>101.96875</v>
      </c>
      <c r="M24" t="s">
        <v>36</v>
      </c>
    </row>
    <row r="25" spans="2:13" x14ac:dyDescent="0.3">
      <c r="C25" t="s">
        <v>7</v>
      </c>
      <c r="D25">
        <f>_xlfn.VAR.P(C8:C21)</f>
        <v>137.2040816326531</v>
      </c>
      <c r="H25">
        <f>SQRT(H24)</f>
        <v>10.233425623905225</v>
      </c>
      <c r="K25">
        <f>SQRT(K24)</f>
        <v>10.097957714310354</v>
      </c>
    </row>
    <row r="26" spans="2:13" x14ac:dyDescent="0.3">
      <c r="C26" t="s">
        <v>8</v>
      </c>
      <c r="D26">
        <f>_xlfn.STDEV.P(C8:C21)</f>
        <v>11.713414601756957</v>
      </c>
      <c r="G26" t="s">
        <v>27</v>
      </c>
      <c r="H26" s="8">
        <f>H25/D24</f>
        <v>3.0392015005234016E-2</v>
      </c>
      <c r="J26" t="s">
        <v>27</v>
      </c>
      <c r="K26" s="3">
        <f>K25/D24</f>
        <v>2.9989691981405379E-2</v>
      </c>
    </row>
    <row r="27" spans="2:13" x14ac:dyDescent="0.3">
      <c r="C27" t="s">
        <v>9</v>
      </c>
      <c r="D27" s="3">
        <f>D26/D24</f>
        <v>3.4787400174925202E-2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72CE-DF35-4793-80AA-F2F3FFCCDE1D}">
  <dimension ref="B2:O30"/>
  <sheetViews>
    <sheetView topLeftCell="B7" workbookViewId="0">
      <selection activeCell="F24" sqref="F24"/>
    </sheetView>
  </sheetViews>
  <sheetFormatPr defaultRowHeight="14.4" x14ac:dyDescent="0.3"/>
  <sheetData>
    <row r="2" spans="2:15" x14ac:dyDescent="0.3">
      <c r="B2" s="2" t="s">
        <v>32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spans="2:15" x14ac:dyDescent="0.3">
      <c r="B3" s="1" t="s">
        <v>1</v>
      </c>
      <c r="C3" s="1">
        <v>2011</v>
      </c>
      <c r="D3" s="1">
        <v>2012</v>
      </c>
      <c r="E3" s="1">
        <v>2013</v>
      </c>
      <c r="F3" s="1">
        <v>2014</v>
      </c>
      <c r="G3" s="1">
        <v>2015</v>
      </c>
      <c r="H3" s="1">
        <v>2016</v>
      </c>
      <c r="I3" s="1">
        <v>2017</v>
      </c>
      <c r="J3" s="1">
        <v>2018</v>
      </c>
      <c r="K3" s="1">
        <v>2019</v>
      </c>
      <c r="L3" s="1">
        <v>2020</v>
      </c>
      <c r="M3" s="1">
        <v>2021</v>
      </c>
      <c r="N3" s="1">
        <v>2022</v>
      </c>
      <c r="O3" s="1">
        <v>2023</v>
      </c>
    </row>
    <row r="4" spans="2:15" x14ac:dyDescent="0.3">
      <c r="B4" s="1" t="s">
        <v>33</v>
      </c>
      <c r="C4" s="1">
        <v>78</v>
      </c>
      <c r="D4" s="1">
        <v>82</v>
      </c>
      <c r="E4" s="1">
        <v>81</v>
      </c>
      <c r="F4" s="1">
        <v>87</v>
      </c>
      <c r="G4" s="1">
        <v>89</v>
      </c>
      <c r="H4" s="1">
        <v>95</v>
      </c>
      <c r="I4" s="1">
        <v>105</v>
      </c>
      <c r="J4" s="1">
        <v>100</v>
      </c>
      <c r="K4" s="1">
        <v>112</v>
      </c>
      <c r="L4" s="1">
        <v>118</v>
      </c>
      <c r="M4" s="1">
        <v>124</v>
      </c>
      <c r="N4" s="1">
        <v>122</v>
      </c>
      <c r="O4" s="1">
        <v>128</v>
      </c>
    </row>
    <row r="5" spans="2:15" x14ac:dyDescent="0.3">
      <c r="B5" s="6"/>
    </row>
    <row r="6" spans="2:15" x14ac:dyDescent="0.3">
      <c r="B6" s="6"/>
    </row>
    <row r="7" spans="2:15" x14ac:dyDescent="0.3">
      <c r="B7" s="6" t="s">
        <v>34</v>
      </c>
    </row>
    <row r="8" spans="2:15" x14ac:dyDescent="0.3">
      <c r="G8" t="s">
        <v>38</v>
      </c>
      <c r="H8">
        <v>96.61</v>
      </c>
      <c r="I8" t="s">
        <v>40</v>
      </c>
    </row>
    <row r="9" spans="2:15" x14ac:dyDescent="0.3">
      <c r="C9" t="s">
        <v>1</v>
      </c>
      <c r="D9" t="s">
        <v>33</v>
      </c>
      <c r="G9" t="s">
        <v>14</v>
      </c>
      <c r="H9" s="6" t="s">
        <v>39</v>
      </c>
    </row>
    <row r="10" spans="2:15" x14ac:dyDescent="0.3">
      <c r="C10">
        <v>2011</v>
      </c>
      <c r="D10">
        <v>78</v>
      </c>
      <c r="H10">
        <v>3.42</v>
      </c>
      <c r="I10" t="s">
        <v>41</v>
      </c>
    </row>
    <row r="11" spans="2:15" x14ac:dyDescent="0.3">
      <c r="C11">
        <v>2012</v>
      </c>
      <c r="D11">
        <v>82</v>
      </c>
    </row>
    <row r="12" spans="2:15" x14ac:dyDescent="0.3">
      <c r="C12">
        <v>2013</v>
      </c>
      <c r="D12">
        <v>81</v>
      </c>
      <c r="G12" t="s">
        <v>15</v>
      </c>
      <c r="H12" s="6" t="s">
        <v>42</v>
      </c>
    </row>
    <row r="13" spans="2:15" x14ac:dyDescent="0.3">
      <c r="C13">
        <v>2014</v>
      </c>
      <c r="D13">
        <v>87</v>
      </c>
    </row>
    <row r="14" spans="2:15" x14ac:dyDescent="0.3">
      <c r="C14">
        <v>2015</v>
      </c>
      <c r="D14">
        <v>89</v>
      </c>
      <c r="G14" t="s">
        <v>43</v>
      </c>
      <c r="H14">
        <v>133</v>
      </c>
      <c r="I14" t="s">
        <v>44</v>
      </c>
      <c r="J14">
        <v>3.9660000000000002</v>
      </c>
    </row>
    <row r="15" spans="2:15" x14ac:dyDescent="0.3">
      <c r="C15">
        <v>2016</v>
      </c>
      <c r="D15">
        <v>95</v>
      </c>
      <c r="I15" t="s">
        <v>45</v>
      </c>
      <c r="J15" s="3">
        <f>J14/H14</f>
        <v>2.9819548872180454E-2</v>
      </c>
    </row>
    <row r="16" spans="2:15" x14ac:dyDescent="0.3">
      <c r="C16">
        <v>2017</v>
      </c>
      <c r="D16">
        <v>105</v>
      </c>
    </row>
    <row r="17" spans="3:13" x14ac:dyDescent="0.3">
      <c r="C17">
        <v>2018</v>
      </c>
      <c r="D17">
        <v>100</v>
      </c>
      <c r="G17" t="s">
        <v>23</v>
      </c>
      <c r="H17" s="6" t="s">
        <v>46</v>
      </c>
    </row>
    <row r="18" spans="3:13" x14ac:dyDescent="0.3">
      <c r="C18">
        <v>2019</v>
      </c>
      <c r="D18">
        <v>112</v>
      </c>
      <c r="K18">
        <v>133</v>
      </c>
    </row>
    <row r="19" spans="3:13" x14ac:dyDescent="0.3">
      <c r="C19">
        <v>2020</v>
      </c>
      <c r="D19">
        <v>118</v>
      </c>
      <c r="G19" t="s">
        <v>35</v>
      </c>
      <c r="H19" s="6" t="s">
        <v>47</v>
      </c>
    </row>
    <row r="20" spans="3:13" x14ac:dyDescent="0.3">
      <c r="C20">
        <v>2021</v>
      </c>
      <c r="D20">
        <v>124</v>
      </c>
    </row>
    <row r="21" spans="3:13" x14ac:dyDescent="0.3">
      <c r="C21">
        <v>2022</v>
      </c>
      <c r="D21">
        <v>122</v>
      </c>
      <c r="H21" t="s">
        <v>48</v>
      </c>
      <c r="J21" t="s">
        <v>49</v>
      </c>
    </row>
    <row r="22" spans="3:13" x14ac:dyDescent="0.3">
      <c r="C22">
        <v>2023</v>
      </c>
      <c r="D22">
        <v>128</v>
      </c>
      <c r="J22">
        <f>137.48-133</f>
        <v>4.4799999999999898</v>
      </c>
    </row>
    <row r="23" spans="3:13" x14ac:dyDescent="0.3">
      <c r="G23" t="s">
        <v>50</v>
      </c>
      <c r="H23" s="6" t="s">
        <v>51</v>
      </c>
    </row>
    <row r="24" spans="3:13" x14ac:dyDescent="0.3">
      <c r="J24">
        <v>137.47999999999999</v>
      </c>
    </row>
    <row r="25" spans="3:13" x14ac:dyDescent="0.3">
      <c r="G25" t="s">
        <v>52</v>
      </c>
      <c r="H25" s="6" t="s">
        <v>53</v>
      </c>
    </row>
    <row r="26" spans="3:13" x14ac:dyDescent="0.3">
      <c r="K26">
        <v>4.0860000000000003</v>
      </c>
      <c r="L26">
        <v>4.09</v>
      </c>
    </row>
    <row r="27" spans="3:13" x14ac:dyDescent="0.3">
      <c r="G27" t="s">
        <v>54</v>
      </c>
      <c r="H27" s="6" t="s">
        <v>55</v>
      </c>
    </row>
    <row r="29" spans="3:13" x14ac:dyDescent="0.3">
      <c r="J29" t="s">
        <v>56</v>
      </c>
      <c r="L29" s="3">
        <f>4.086/137.48</f>
        <v>2.9720686645330233E-2</v>
      </c>
      <c r="M29" t="s">
        <v>58</v>
      </c>
    </row>
    <row r="30" spans="3:13" x14ac:dyDescent="0.3">
      <c r="L30" t="s">
        <v>57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B45-89EB-4365-A001-20E51CEC012F}">
  <dimension ref="A1:B14"/>
  <sheetViews>
    <sheetView workbookViewId="0">
      <selection activeCell="M21" sqref="M21"/>
    </sheetView>
  </sheetViews>
  <sheetFormatPr defaultRowHeight="14.4" x14ac:dyDescent="0.3"/>
  <sheetData>
    <row r="1" spans="1:2" x14ac:dyDescent="0.3">
      <c r="A1" t="s">
        <v>1</v>
      </c>
      <c r="B1" t="s">
        <v>33</v>
      </c>
    </row>
    <row r="2" spans="1:2" x14ac:dyDescent="0.3">
      <c r="A2">
        <v>2011</v>
      </c>
      <c r="B2">
        <v>78</v>
      </c>
    </row>
    <row r="3" spans="1:2" x14ac:dyDescent="0.3">
      <c r="A3">
        <v>2012</v>
      </c>
      <c r="B3">
        <v>82</v>
      </c>
    </row>
    <row r="4" spans="1:2" x14ac:dyDescent="0.3">
      <c r="A4">
        <v>2013</v>
      </c>
      <c r="B4">
        <v>81</v>
      </c>
    </row>
    <row r="5" spans="1:2" x14ac:dyDescent="0.3">
      <c r="A5">
        <v>2014</v>
      </c>
      <c r="B5">
        <v>87</v>
      </c>
    </row>
    <row r="6" spans="1:2" x14ac:dyDescent="0.3">
      <c r="A6">
        <v>2015</v>
      </c>
      <c r="B6">
        <v>89</v>
      </c>
    </row>
    <row r="7" spans="1:2" x14ac:dyDescent="0.3">
      <c r="A7">
        <v>2016</v>
      </c>
      <c r="B7">
        <v>95</v>
      </c>
    </row>
    <row r="8" spans="1:2" x14ac:dyDescent="0.3">
      <c r="A8">
        <v>2017</v>
      </c>
      <c r="B8">
        <v>105</v>
      </c>
    </row>
    <row r="9" spans="1:2" x14ac:dyDescent="0.3">
      <c r="A9">
        <v>2018</v>
      </c>
      <c r="B9">
        <v>100</v>
      </c>
    </row>
    <row r="10" spans="1:2" x14ac:dyDescent="0.3">
      <c r="A10">
        <v>2019</v>
      </c>
      <c r="B10">
        <v>112</v>
      </c>
    </row>
    <row r="11" spans="1:2" x14ac:dyDescent="0.3">
      <c r="A11">
        <v>2020</v>
      </c>
      <c r="B11">
        <v>118</v>
      </c>
    </row>
    <row r="12" spans="1:2" x14ac:dyDescent="0.3">
      <c r="A12">
        <v>2021</v>
      </c>
      <c r="B12">
        <v>124</v>
      </c>
    </row>
    <row r="13" spans="1:2" x14ac:dyDescent="0.3">
      <c r="A13">
        <v>2022</v>
      </c>
      <c r="B13">
        <v>122</v>
      </c>
    </row>
    <row r="14" spans="1:2" x14ac:dyDescent="0.3">
      <c r="A14">
        <v>2023</v>
      </c>
      <c r="B14">
        <v>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0A19-C32B-4B86-8830-63547366D4F5}">
  <dimension ref="B13:J36"/>
  <sheetViews>
    <sheetView topLeftCell="A17" workbookViewId="0">
      <selection activeCell="I37" sqref="I37"/>
    </sheetView>
  </sheetViews>
  <sheetFormatPr defaultRowHeight="14.4" x14ac:dyDescent="0.3"/>
  <sheetData>
    <row r="13" spans="2:10" ht="57.6" customHeight="1" x14ac:dyDescent="0.3">
      <c r="B13" s="9" t="s">
        <v>59</v>
      </c>
    </row>
    <row r="14" spans="2:10" x14ac:dyDescent="0.3">
      <c r="B14" s="6"/>
    </row>
    <row r="15" spans="2:10" x14ac:dyDescent="0.3">
      <c r="B15" s="1" t="s">
        <v>33</v>
      </c>
      <c r="C15" s="1" t="s">
        <v>60</v>
      </c>
      <c r="D15" s="1" t="s">
        <v>61</v>
      </c>
    </row>
    <row r="16" spans="2:10" x14ac:dyDescent="0.3">
      <c r="B16" s="1">
        <v>230</v>
      </c>
      <c r="C16" s="1">
        <v>8</v>
      </c>
      <c r="D16" s="1">
        <v>110</v>
      </c>
      <c r="E16" t="s">
        <v>63</v>
      </c>
      <c r="F16" s="6" t="s">
        <v>62</v>
      </c>
      <c r="J16">
        <v>426.13</v>
      </c>
    </row>
    <row r="17" spans="2:9" x14ac:dyDescent="0.3">
      <c r="B17" s="1">
        <v>220</v>
      </c>
      <c r="C17" s="1">
        <v>10</v>
      </c>
      <c r="D17" s="1">
        <v>95</v>
      </c>
    </row>
    <row r="18" spans="2:9" x14ac:dyDescent="0.3">
      <c r="B18" s="1">
        <v>250</v>
      </c>
      <c r="C18" s="1">
        <v>12</v>
      </c>
      <c r="D18" s="1">
        <v>84</v>
      </c>
      <c r="F18" t="s">
        <v>14</v>
      </c>
      <c r="G18" s="6" t="s">
        <v>65</v>
      </c>
    </row>
    <row r="19" spans="2:9" x14ac:dyDescent="0.3">
      <c r="B19" s="1">
        <v>290</v>
      </c>
      <c r="C19" s="1">
        <v>10</v>
      </c>
      <c r="D19" s="1">
        <v>78</v>
      </c>
      <c r="I19">
        <v>744.92</v>
      </c>
    </row>
    <row r="20" spans="2:9" x14ac:dyDescent="0.3">
      <c r="B20" s="1">
        <v>330</v>
      </c>
      <c r="C20" s="1">
        <v>18</v>
      </c>
      <c r="D20" s="1">
        <v>74</v>
      </c>
      <c r="F20" t="s">
        <v>15</v>
      </c>
      <c r="G20" s="6" t="s">
        <v>66</v>
      </c>
    </row>
    <row r="21" spans="2:9" x14ac:dyDescent="0.3">
      <c r="B21" s="1">
        <v>350</v>
      </c>
      <c r="C21" s="1">
        <v>25</v>
      </c>
      <c r="D21" s="1">
        <v>76</v>
      </c>
    </row>
    <row r="22" spans="2:9" x14ac:dyDescent="0.3">
      <c r="B22" s="1">
        <v>430</v>
      </c>
      <c r="C22" s="1">
        <v>20</v>
      </c>
      <c r="D22" s="1">
        <v>72</v>
      </c>
      <c r="F22" t="s">
        <v>23</v>
      </c>
      <c r="G22" s="6" t="s">
        <v>67</v>
      </c>
    </row>
    <row r="23" spans="2:9" x14ac:dyDescent="0.3">
      <c r="B23" s="1">
        <v>420</v>
      </c>
      <c r="C23" s="1">
        <v>35</v>
      </c>
      <c r="D23" s="1">
        <v>68</v>
      </c>
    </row>
    <row r="24" spans="2:9" x14ac:dyDescent="0.3">
      <c r="B24" s="1">
        <v>440</v>
      </c>
      <c r="C24" s="1">
        <v>28</v>
      </c>
      <c r="D24" s="1">
        <v>45</v>
      </c>
      <c r="F24" t="s">
        <v>35</v>
      </c>
      <c r="G24" s="6" t="s">
        <v>68</v>
      </c>
    </row>
    <row r="25" spans="2:9" x14ac:dyDescent="0.3">
      <c r="B25" s="1">
        <v>485</v>
      </c>
      <c r="C25" s="1">
        <v>32</v>
      </c>
      <c r="D25" s="1">
        <v>35</v>
      </c>
    </row>
    <row r="26" spans="2:9" x14ac:dyDescent="0.3">
      <c r="B26" s="1">
        <v>500</v>
      </c>
      <c r="C26" s="1">
        <v>45</v>
      </c>
      <c r="D26" s="1">
        <v>25</v>
      </c>
      <c r="F26" t="s">
        <v>50</v>
      </c>
      <c r="G26" s="6" t="s">
        <v>69</v>
      </c>
    </row>
    <row r="27" spans="2:9" x14ac:dyDescent="0.3">
      <c r="B27" s="1">
        <v>550</v>
      </c>
      <c r="C27" s="1">
        <v>55</v>
      </c>
      <c r="D27" s="1">
        <v>35</v>
      </c>
      <c r="I27">
        <v>632.59</v>
      </c>
    </row>
    <row r="28" spans="2:9" x14ac:dyDescent="0.3">
      <c r="B28" s="10"/>
      <c r="F28" t="s">
        <v>52</v>
      </c>
      <c r="G28" s="6" t="s">
        <v>70</v>
      </c>
    </row>
    <row r="29" spans="2:9" x14ac:dyDescent="0.3">
      <c r="B29" s="10" t="s">
        <v>34</v>
      </c>
    </row>
    <row r="30" spans="2:9" x14ac:dyDescent="0.3">
      <c r="F30" t="s">
        <v>54</v>
      </c>
      <c r="G30" s="6" t="s">
        <v>71</v>
      </c>
    </row>
    <row r="31" spans="2:9" x14ac:dyDescent="0.3">
      <c r="I31">
        <v>7.85</v>
      </c>
    </row>
    <row r="32" spans="2:9" x14ac:dyDescent="0.3">
      <c r="F32" t="s">
        <v>64</v>
      </c>
      <c r="G32" s="6" t="s">
        <v>72</v>
      </c>
    </row>
    <row r="34" spans="6:7" x14ac:dyDescent="0.3">
      <c r="F34" t="s">
        <v>73</v>
      </c>
      <c r="G34" s="6" t="s">
        <v>74</v>
      </c>
    </row>
    <row r="36" spans="6:7" x14ac:dyDescent="0.3">
      <c r="G36" t="s">
        <v>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22B-9877-4141-AD61-CFFC4CEE469E}">
  <dimension ref="A1:C13"/>
  <sheetViews>
    <sheetView workbookViewId="0">
      <selection activeCell="F7" sqref="F7"/>
    </sheetView>
  </sheetViews>
  <sheetFormatPr defaultRowHeight="14.4" x14ac:dyDescent="0.3"/>
  <sheetData>
    <row r="1" spans="1:3" x14ac:dyDescent="0.3">
      <c r="A1" s="11" t="s">
        <v>33</v>
      </c>
      <c r="B1" s="11" t="s">
        <v>60</v>
      </c>
      <c r="C1" s="11" t="s">
        <v>61</v>
      </c>
    </row>
    <row r="2" spans="1:3" x14ac:dyDescent="0.3">
      <c r="A2" s="1">
        <v>230</v>
      </c>
      <c r="B2" s="1">
        <v>8</v>
      </c>
      <c r="C2" s="1">
        <v>110</v>
      </c>
    </row>
    <row r="3" spans="1:3" x14ac:dyDescent="0.3">
      <c r="A3" s="1">
        <v>220</v>
      </c>
      <c r="B3" s="1">
        <v>10</v>
      </c>
      <c r="C3" s="1">
        <v>95</v>
      </c>
    </row>
    <row r="4" spans="1:3" x14ac:dyDescent="0.3">
      <c r="A4" s="1">
        <v>250</v>
      </c>
      <c r="B4" s="1">
        <v>12</v>
      </c>
      <c r="C4" s="1">
        <v>84</v>
      </c>
    </row>
    <row r="5" spans="1:3" x14ac:dyDescent="0.3">
      <c r="A5" s="1">
        <v>290</v>
      </c>
      <c r="B5" s="1">
        <v>10</v>
      </c>
      <c r="C5" s="1">
        <v>78</v>
      </c>
    </row>
    <row r="6" spans="1:3" x14ac:dyDescent="0.3">
      <c r="A6" s="1">
        <v>330</v>
      </c>
      <c r="B6" s="1">
        <v>18</v>
      </c>
      <c r="C6" s="1">
        <v>74</v>
      </c>
    </row>
    <row r="7" spans="1:3" x14ac:dyDescent="0.3">
      <c r="A7" s="1">
        <v>350</v>
      </c>
      <c r="B7" s="1">
        <v>25</v>
      </c>
      <c r="C7" s="1">
        <v>76</v>
      </c>
    </row>
    <row r="8" spans="1:3" x14ac:dyDescent="0.3">
      <c r="A8" s="1">
        <v>430</v>
      </c>
      <c r="B8" s="1">
        <v>20</v>
      </c>
      <c r="C8" s="1">
        <v>72</v>
      </c>
    </row>
    <row r="9" spans="1:3" x14ac:dyDescent="0.3">
      <c r="A9" s="1">
        <v>420</v>
      </c>
      <c r="B9" s="1">
        <v>35</v>
      </c>
      <c r="C9" s="1">
        <v>68</v>
      </c>
    </row>
    <row r="10" spans="1:3" x14ac:dyDescent="0.3">
      <c r="A10" s="1">
        <v>440</v>
      </c>
      <c r="B10" s="1">
        <v>28</v>
      </c>
      <c r="C10" s="1">
        <v>45</v>
      </c>
    </row>
    <row r="11" spans="1:3" x14ac:dyDescent="0.3">
      <c r="A11" s="1">
        <v>485</v>
      </c>
      <c r="B11" s="1">
        <v>32</v>
      </c>
      <c r="C11" s="1">
        <v>35</v>
      </c>
    </row>
    <row r="12" spans="1:3" x14ac:dyDescent="0.3">
      <c r="A12" s="1">
        <v>500</v>
      </c>
      <c r="B12" s="1">
        <v>45</v>
      </c>
      <c r="C12" s="1">
        <v>25</v>
      </c>
    </row>
    <row r="13" spans="1:3" x14ac:dyDescent="0.3">
      <c r="A13" s="1">
        <v>550</v>
      </c>
      <c r="B13" s="1">
        <v>55</v>
      </c>
      <c r="C13" s="1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6ADE-4B02-472B-9C5D-58BBBB8A28DF}">
  <sheetPr codeName="Arkusz1"/>
  <dimension ref="B2:P30"/>
  <sheetViews>
    <sheetView tabSelected="1" topLeftCell="A19" workbookViewId="0">
      <selection activeCell="G19" sqref="G19"/>
    </sheetView>
  </sheetViews>
  <sheetFormatPr defaultRowHeight="14.4" x14ac:dyDescent="0.3"/>
  <sheetData>
    <row r="2" spans="2:16" x14ac:dyDescent="0.3">
      <c r="B2" s="2" t="s">
        <v>76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2:16" x14ac:dyDescent="0.3">
      <c r="B3" s="1" t="s">
        <v>1</v>
      </c>
      <c r="C3" s="1">
        <v>2010</v>
      </c>
      <c r="D3" s="1">
        <v>2011</v>
      </c>
      <c r="E3" s="1">
        <v>2012</v>
      </c>
      <c r="F3" s="1">
        <v>2013</v>
      </c>
      <c r="G3" s="1">
        <v>2014</v>
      </c>
      <c r="H3" s="1">
        <v>2015</v>
      </c>
      <c r="I3" s="1">
        <v>2016</v>
      </c>
      <c r="J3" s="1">
        <v>2017</v>
      </c>
      <c r="K3" s="1">
        <v>2018</v>
      </c>
      <c r="L3" s="1">
        <v>2019</v>
      </c>
      <c r="M3" s="1">
        <v>2020</v>
      </c>
      <c r="N3" s="1">
        <v>2021</v>
      </c>
      <c r="O3" s="1">
        <v>2022</v>
      </c>
      <c r="P3" s="1">
        <v>2023</v>
      </c>
    </row>
    <row r="4" spans="2:16" x14ac:dyDescent="0.3">
      <c r="B4" s="1" t="s">
        <v>33</v>
      </c>
      <c r="C4" s="1">
        <v>99</v>
      </c>
      <c r="D4" s="1">
        <v>111</v>
      </c>
      <c r="E4" s="1">
        <v>105</v>
      </c>
      <c r="F4" s="1">
        <v>105</v>
      </c>
      <c r="G4" s="1">
        <v>111</v>
      </c>
      <c r="H4" s="1">
        <v>99</v>
      </c>
      <c r="I4" s="1">
        <v>111</v>
      </c>
      <c r="J4" s="1">
        <v>99</v>
      </c>
      <c r="K4" s="1">
        <v>105</v>
      </c>
      <c r="L4" s="1">
        <v>111</v>
      </c>
      <c r="M4" s="1">
        <v>117</v>
      </c>
      <c r="N4" s="1">
        <v>108</v>
      </c>
      <c r="O4" s="1">
        <v>111</v>
      </c>
      <c r="P4" s="1">
        <v>102</v>
      </c>
    </row>
    <row r="7" spans="2:16" x14ac:dyDescent="0.3">
      <c r="B7" t="s">
        <v>63</v>
      </c>
      <c r="C7" s="6" t="s">
        <v>77</v>
      </c>
    </row>
    <row r="9" spans="2:16" x14ac:dyDescent="0.3">
      <c r="B9" t="s">
        <v>14</v>
      </c>
      <c r="C9" s="6" t="s">
        <v>78</v>
      </c>
    </row>
    <row r="11" spans="2:16" x14ac:dyDescent="0.3">
      <c r="B11" t="s">
        <v>15</v>
      </c>
      <c r="C11" s="6" t="s">
        <v>79</v>
      </c>
    </row>
    <row r="13" spans="2:16" x14ac:dyDescent="0.3">
      <c r="B13" t="s">
        <v>23</v>
      </c>
      <c r="C13" s="6" t="s">
        <v>80</v>
      </c>
    </row>
    <row r="15" spans="2:16" x14ac:dyDescent="0.3">
      <c r="B15" t="s">
        <v>35</v>
      </c>
      <c r="C15" s="6" t="s">
        <v>81</v>
      </c>
    </row>
    <row r="17" spans="2:3" x14ac:dyDescent="0.3">
      <c r="B17" t="s">
        <v>50</v>
      </c>
      <c r="C17" s="6" t="s">
        <v>82</v>
      </c>
    </row>
    <row r="19" spans="2:3" ht="228" x14ac:dyDescent="0.3">
      <c r="B19" t="s">
        <v>52</v>
      </c>
      <c r="C19" s="9" t="s">
        <v>83</v>
      </c>
    </row>
    <row r="21" spans="2:3" x14ac:dyDescent="0.3">
      <c r="C21" t="s">
        <v>84</v>
      </c>
    </row>
    <row r="23" spans="2:3" x14ac:dyDescent="0.3">
      <c r="C23" t="s">
        <v>85</v>
      </c>
    </row>
    <row r="24" spans="2:3" x14ac:dyDescent="0.3">
      <c r="C24" t="s">
        <v>86</v>
      </c>
    </row>
    <row r="26" spans="2:3" x14ac:dyDescent="0.3">
      <c r="C26" t="s">
        <v>87</v>
      </c>
    </row>
    <row r="27" spans="2:3" x14ac:dyDescent="0.3">
      <c r="C27" t="s">
        <v>88</v>
      </c>
    </row>
    <row r="29" spans="2:3" x14ac:dyDescent="0.3">
      <c r="C29" t="s">
        <v>89</v>
      </c>
    </row>
    <row r="30" spans="2:3" x14ac:dyDescent="0.3">
      <c r="C30" t="s">
        <v>90</v>
      </c>
    </row>
  </sheetData>
  <mergeCells count="1">
    <mergeCell ref="B2:J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7" r:id="rId3" name="Control 3">
          <controlPr defaultSize="0" r:id="rId4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2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6147" r:id="rId3" name="Control 3"/>
      </mc:Fallback>
    </mc:AlternateContent>
    <mc:AlternateContent xmlns:mc="http://schemas.openxmlformats.org/markup-compatibility/2006">
      <mc:Choice Requires="x14">
        <control shapeId="6146" r:id="rId5" name="Control 2">
          <controlPr defaultSize="0" r:id="rId4">
            <anchor moveWithCells="1">
              <from>
                <xdr:col>2</xdr:col>
                <xdr:colOff>0</xdr:colOff>
                <xdr:row>24</xdr:row>
                <xdr:rowOff>0</xdr:rowOff>
              </from>
              <to>
                <xdr:col>2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6146" r:id="rId5" name="Control 2"/>
      </mc:Fallback>
    </mc:AlternateContent>
    <mc:AlternateContent xmlns:mc="http://schemas.openxmlformats.org/markup-compatibility/2006">
      <mc:Choice Requires="x14">
        <control shapeId="6145" r:id="rId6" name="Control 1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14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sekcja 1</vt:lpstr>
      <vt:lpstr>sekcja</vt:lpstr>
      <vt:lpstr>Arkusz3</vt:lpstr>
      <vt:lpstr>sekcja3</vt:lpstr>
      <vt:lpstr>Arkusz5</vt:lpstr>
      <vt:lpstr>sekcja4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2026-05-19T07:52:54Z</dcterms:created>
  <dcterms:modified xsi:type="dcterms:W3CDTF">2026-05-19T09:04:20Z</dcterms:modified>
</cp:coreProperties>
</file>