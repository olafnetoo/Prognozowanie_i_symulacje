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4\Downloads\"/>
    </mc:Choice>
  </mc:AlternateContent>
  <xr:revisionPtr revIDLastSave="0" documentId="8_{2C76C413-255D-409B-A9D0-01B4F8ABCD08}" xr6:coauthVersionLast="47" xr6:coauthVersionMax="47" xr10:uidLastSave="{00000000-0000-0000-0000-000000000000}"/>
  <bookViews>
    <workbookView xWindow="690" yWindow="0" windowWidth="9870" windowHeight="15585" xr2:uid="{00743139-0367-42E9-8317-503315A817A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1" l="1"/>
  <c r="F23" i="1"/>
  <c r="F22" i="1"/>
  <c r="E20" i="1"/>
  <c r="I15" i="1"/>
  <c r="G10" i="1"/>
  <c r="G7" i="1"/>
  <c r="G6" i="1"/>
  <c r="E18" i="1"/>
  <c r="E14" i="1"/>
  <c r="E13" i="1"/>
</calcChain>
</file>

<file path=xl/sharedStrings.xml><?xml version="1.0" encoding="utf-8"?>
<sst xmlns="http://schemas.openxmlformats.org/spreadsheetml/2006/main" count="41" uniqueCount="34">
  <si>
    <t>Opodatkowana</t>
  </si>
  <si>
    <t>Zwolniona</t>
  </si>
  <si>
    <t>Mix</t>
  </si>
  <si>
    <t xml:space="preserve">Rodzaj </t>
  </si>
  <si>
    <t>Kwota</t>
  </si>
  <si>
    <t>Podatek</t>
  </si>
  <si>
    <t>Usługi edukacjyne</t>
  </si>
  <si>
    <t>usługi doradcze</t>
  </si>
  <si>
    <t>Zakupy</t>
  </si>
  <si>
    <t>Kwota netto</t>
  </si>
  <si>
    <t>Pośrednie działalność spółki</t>
  </si>
  <si>
    <t>Badania rynkowe</t>
  </si>
  <si>
    <t>Program komputerowy</t>
  </si>
  <si>
    <t>Przychód</t>
  </si>
  <si>
    <t>usługi edukacjyne</t>
  </si>
  <si>
    <t>Zwolnione</t>
  </si>
  <si>
    <t>Wynik</t>
  </si>
  <si>
    <t>Opodatkowane</t>
  </si>
  <si>
    <t>Opodatkowqane</t>
  </si>
  <si>
    <t>Pre współczynnik</t>
  </si>
  <si>
    <t>rok n-1</t>
  </si>
  <si>
    <t>``80%</t>
  </si>
  <si>
    <t>*80%</t>
  </si>
  <si>
    <t>suuma=</t>
  </si>
  <si>
    <t>Vat</t>
  </si>
  <si>
    <t>Vat Us=Vat należny naliczony</t>
  </si>
  <si>
    <t>Należny</t>
  </si>
  <si>
    <t>Naliczony</t>
  </si>
  <si>
    <t>Vat Us=</t>
  </si>
  <si>
    <t>Współczynnik rzeczywisty + korekta</t>
  </si>
  <si>
    <t>ma prawo do odliczenia 85%</t>
  </si>
  <si>
    <t>różnica to=</t>
  </si>
  <si>
    <t>suma=</t>
  </si>
  <si>
    <t xml:space="preserve">zaogrąglamy do pełnych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</si>
</sst>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4" formatCode="_-* #,##0.00\ [$zł-415]_-;\-* #,##0.00\ [$zł-415]_-;_-* &quot;-&quot;??\ [$zł-415]_-;_-@_-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2" borderId="0" xfId="0" applyFill="1"/>
    <xf numFmtId="164" fontId="0" fillId="2" borderId="0" xfId="0" applyNumberFormat="1" applyFill="1"/>
    <xf numFmtId="9" fontId="0" fillId="0" borderId="0" xfId="2" applyFont="1"/>
    <xf numFmtId="44" fontId="0" fillId="0" borderId="0" xfId="1" applyFont="1"/>
  </cellXfs>
  <cellStyles count="3">
    <cellStyle name="Normalny" xfId="0" builtinId="0"/>
    <cellStyle name="Procentowy" xfId="2" builtinId="5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946-861F-4EDA-A14E-AD5F9D176FDD}">
  <dimension ref="A1:I25"/>
  <sheetViews>
    <sheetView tabSelected="1" topLeftCell="C1" workbookViewId="0">
      <selection activeCell="E34" sqref="E34"/>
    </sheetView>
  </sheetViews>
  <sheetFormatPr defaultRowHeight="15" x14ac:dyDescent="0.25"/>
  <cols>
    <col min="1" max="1" width="17.140625" customWidth="1"/>
    <col min="2" max="2" width="20.42578125" customWidth="1"/>
    <col min="3" max="3" width="20.85546875" customWidth="1"/>
    <col min="4" max="4" width="11.5703125" customWidth="1"/>
    <col min="5" max="5" width="14.85546875" bestFit="1" customWidth="1"/>
    <col min="6" max="6" width="11.28515625" bestFit="1" customWidth="1"/>
    <col min="7" max="7" width="13.42578125" bestFit="1" customWidth="1"/>
    <col min="9" max="9" width="13.42578125" bestFit="1" customWidth="1"/>
  </cols>
  <sheetData>
    <row r="1" spans="1:9" x14ac:dyDescent="0.25">
      <c r="B1" t="s">
        <v>0</v>
      </c>
      <c r="C1" t="s">
        <v>1</v>
      </c>
      <c r="D1" t="s">
        <v>2</v>
      </c>
    </row>
    <row r="2" spans="1:9" x14ac:dyDescent="0.25">
      <c r="A2" t="s">
        <v>27</v>
      </c>
    </row>
    <row r="3" spans="1:9" x14ac:dyDescent="0.25">
      <c r="A3" t="s">
        <v>8</v>
      </c>
      <c r="B3" t="s">
        <v>3</v>
      </c>
      <c r="C3" t="s">
        <v>9</v>
      </c>
      <c r="D3" t="s">
        <v>5</v>
      </c>
      <c r="E3" t="s">
        <v>16</v>
      </c>
    </row>
    <row r="4" spans="1:9" x14ac:dyDescent="0.25">
      <c r="A4" t="s">
        <v>6</v>
      </c>
      <c r="B4" t="s">
        <v>15</v>
      </c>
      <c r="C4" s="1">
        <v>143700</v>
      </c>
      <c r="D4" s="2">
        <v>0</v>
      </c>
      <c r="E4" s="1"/>
    </row>
    <row r="5" spans="1:9" x14ac:dyDescent="0.25">
      <c r="A5" t="s">
        <v>7</v>
      </c>
      <c r="B5" t="s">
        <v>18</v>
      </c>
      <c r="C5" s="1">
        <v>514000</v>
      </c>
      <c r="D5" s="2">
        <v>0.23</v>
      </c>
      <c r="E5" s="1">
        <v>118220</v>
      </c>
    </row>
    <row r="6" spans="1:9" x14ac:dyDescent="0.25">
      <c r="A6" t="s">
        <v>10</v>
      </c>
      <c r="B6" t="s">
        <v>2</v>
      </c>
      <c r="C6" s="1">
        <v>120000</v>
      </c>
      <c r="D6" s="2">
        <v>0.23</v>
      </c>
      <c r="E6" s="1">
        <v>27600</v>
      </c>
      <c r="F6" t="s">
        <v>22</v>
      </c>
      <c r="G6" s="1">
        <f>E6*80%</f>
        <v>22080</v>
      </c>
    </row>
    <row r="7" spans="1:9" x14ac:dyDescent="0.25">
      <c r="A7" t="s">
        <v>11</v>
      </c>
      <c r="B7" t="s">
        <v>2</v>
      </c>
      <c r="C7" s="1">
        <v>227273</v>
      </c>
      <c r="D7" s="2">
        <v>0.23</v>
      </c>
      <c r="E7" s="1">
        <v>52272.79</v>
      </c>
      <c r="F7" t="s">
        <v>22</v>
      </c>
      <c r="G7" s="1">
        <f>E7*80%</f>
        <v>41818.232000000004</v>
      </c>
    </row>
    <row r="8" spans="1:9" x14ac:dyDescent="0.25">
      <c r="A8" t="s">
        <v>12</v>
      </c>
      <c r="B8" t="s">
        <v>17</v>
      </c>
      <c r="C8" s="1">
        <v>150000</v>
      </c>
      <c r="D8" s="2">
        <v>0.23</v>
      </c>
      <c r="E8" s="1">
        <v>34500</v>
      </c>
    </row>
    <row r="10" spans="1:9" x14ac:dyDescent="0.25">
      <c r="F10" s="3" t="s">
        <v>23</v>
      </c>
      <c r="G10" s="4">
        <f>E5+G6+G7+E8</f>
        <v>216618.23200000002</v>
      </c>
    </row>
    <row r="11" spans="1:9" x14ac:dyDescent="0.25">
      <c r="A11" t="s">
        <v>26</v>
      </c>
    </row>
    <row r="12" spans="1:9" x14ac:dyDescent="0.25">
      <c r="A12" t="s">
        <v>13</v>
      </c>
      <c r="C12" t="s">
        <v>4</v>
      </c>
      <c r="D12" t="s">
        <v>24</v>
      </c>
      <c r="E12" t="s">
        <v>16</v>
      </c>
    </row>
    <row r="13" spans="1:9" x14ac:dyDescent="0.25">
      <c r="A13" t="s">
        <v>14</v>
      </c>
      <c r="B13" t="s">
        <v>15</v>
      </c>
      <c r="C13" s="1">
        <v>400000</v>
      </c>
      <c r="D13" s="2">
        <v>0</v>
      </c>
      <c r="E13" s="1">
        <f>C13</f>
        <v>400000</v>
      </c>
      <c r="H13" t="s">
        <v>25</v>
      </c>
    </row>
    <row r="14" spans="1:9" x14ac:dyDescent="0.25">
      <c r="A14" t="s">
        <v>7</v>
      </c>
      <c r="B14" t="s">
        <v>17</v>
      </c>
      <c r="C14" s="1">
        <v>3600000</v>
      </c>
      <c r="D14" s="2">
        <v>0.23</v>
      </c>
      <c r="E14" s="4">
        <f>C14*D14</f>
        <v>828000</v>
      </c>
    </row>
    <row r="15" spans="1:9" x14ac:dyDescent="0.25">
      <c r="H15" t="s">
        <v>28</v>
      </c>
      <c r="I15" s="4">
        <f>E14-G10</f>
        <v>611381.76799999992</v>
      </c>
    </row>
    <row r="17" spans="3:7" x14ac:dyDescent="0.25">
      <c r="C17" t="s">
        <v>20</v>
      </c>
    </row>
    <row r="18" spans="3:7" x14ac:dyDescent="0.25">
      <c r="C18" t="s">
        <v>19</v>
      </c>
      <c r="E18">
        <f>27700000/35000000</f>
        <v>0.79142857142857148</v>
      </c>
      <c r="F18" t="s">
        <v>21</v>
      </c>
    </row>
    <row r="20" spans="3:7" x14ac:dyDescent="0.25">
      <c r="C20" t="s">
        <v>29</v>
      </c>
      <c r="E20" s="5">
        <f>(16800000+3600000)/(16800000+3200000+400000+3600000)</f>
        <v>0.85</v>
      </c>
      <c r="G20" t="s">
        <v>30</v>
      </c>
    </row>
    <row r="22" spans="3:7" x14ac:dyDescent="0.25">
      <c r="E22" t="s">
        <v>31</v>
      </c>
      <c r="F22" s="1">
        <f>E6*0.05</f>
        <v>1380</v>
      </c>
    </row>
    <row r="23" spans="3:7" x14ac:dyDescent="0.25">
      <c r="F23" s="1">
        <f>E7*0.05</f>
        <v>2613.6395000000002</v>
      </c>
    </row>
    <row r="24" spans="3:7" x14ac:dyDescent="0.25">
      <c r="E24" t="s">
        <v>32</v>
      </c>
      <c r="F24" s="1">
        <f>SUM(F22:F23)</f>
        <v>3993.6395000000002</v>
      </c>
      <c r="G24" s="1" t="s">
        <v>33</v>
      </c>
    </row>
    <row r="25" spans="3:7" x14ac:dyDescent="0.25">
      <c r="F25" s="6">
        <v>3994</v>
      </c>
      <c r="G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204</dc:creator>
  <cp:lastModifiedBy>204</cp:lastModifiedBy>
  <dcterms:created xsi:type="dcterms:W3CDTF">2026-06-11T06:31:34Z</dcterms:created>
  <dcterms:modified xsi:type="dcterms:W3CDTF">2026-06-11T07:07:33Z</dcterms:modified>
</cp:coreProperties>
</file>