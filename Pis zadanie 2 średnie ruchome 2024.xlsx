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c608\Desktop\P_I_Sym_KW2\"/>
    </mc:Choice>
  </mc:AlternateContent>
  <xr:revisionPtr revIDLastSave="0" documentId="13_ncr:1_{C1E3889B-C48B-41E6-A5DE-FE1607237A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Zad1" sheetId="2" r:id="rId1"/>
    <sheet name="Zad 2" sheetId="1" r:id="rId2"/>
    <sheet name="Zad 3" sheetId="3" r:id="rId3"/>
  </sheets>
  <definedNames>
    <definedName name="solver_adj" localSheetId="1" hidden="1">'Zad 2'!$S$25:$S$28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'Zad 2'!$S$26</definedName>
    <definedName name="solver_lhs2" localSheetId="1" hidden="1">'Zad 2'!$S$27</definedName>
    <definedName name="solver_lhs3" localSheetId="1" hidden="1">'Zad 2'!$S$28</definedName>
    <definedName name="solver_lhs4" localSheetId="1" hidden="1">'Zad 2'!$S$28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'Zad 2'!$I$38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3</definedName>
    <definedName name="solver_rel3" localSheetId="1" hidden="1">3</definedName>
    <definedName name="solver_rel4" localSheetId="1" hidden="1">3</definedName>
    <definedName name="solver_rhs1" localSheetId="1" hidden="1">0</definedName>
    <definedName name="solver_rhs2" localSheetId="1" hidden="1">0</definedName>
    <definedName name="solver_rhs3" localSheetId="1" hidden="1">0</definedName>
    <definedName name="solver_rhs4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9" i="1" l="1"/>
  <c r="G39" i="1"/>
  <c r="H38" i="1"/>
  <c r="G38" i="1"/>
  <c r="H37" i="1"/>
  <c r="G37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10" i="1"/>
  <c r="E10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7" i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F9" i="1"/>
  <c r="I9" i="1" s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4" i="2"/>
  <c r="D24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7" i="1"/>
  <c r="Q5" i="1"/>
  <c r="P5" i="1"/>
  <c r="P4" i="1"/>
  <c r="P3" i="1"/>
  <c r="P2" i="1"/>
  <c r="H38" i="2"/>
  <c r="H37" i="2"/>
  <c r="H36" i="2"/>
  <c r="H26" i="2"/>
  <c r="H27" i="2"/>
  <c r="H28" i="2"/>
  <c r="H29" i="2"/>
  <c r="H30" i="2"/>
  <c r="H31" i="2"/>
  <c r="H32" i="2"/>
  <c r="H33" i="2"/>
  <c r="H25" i="2"/>
  <c r="G25" i="2"/>
  <c r="G26" i="2"/>
  <c r="G27" i="2"/>
  <c r="G28" i="2"/>
  <c r="G29" i="2"/>
  <c r="G30" i="2"/>
  <c r="G31" i="2"/>
  <c r="G32" i="2"/>
  <c r="G33" i="2"/>
  <c r="G24" i="2"/>
  <c r="G36" i="2" s="1"/>
  <c r="G37" i="2" s="1"/>
  <c r="G38" i="2" s="1"/>
  <c r="F27" i="2"/>
  <c r="F28" i="2"/>
  <c r="F29" i="2"/>
  <c r="F30" i="2"/>
  <c r="F31" i="2"/>
  <c r="F32" i="2"/>
  <c r="F33" i="2"/>
  <c r="F34" i="2"/>
  <c r="F26" i="2"/>
  <c r="F25" i="2"/>
  <c r="E34" i="2"/>
  <c r="E26" i="2"/>
  <c r="E27" i="2"/>
  <c r="E28" i="2"/>
  <c r="E29" i="2"/>
  <c r="E30" i="2"/>
  <c r="E31" i="2"/>
  <c r="E32" i="2"/>
  <c r="E33" i="2"/>
  <c r="E25" i="2"/>
  <c r="E38" i="2"/>
  <c r="D38" i="2"/>
  <c r="D37" i="2"/>
  <c r="D36" i="2"/>
  <c r="D35" i="2"/>
  <c r="I37" i="1" l="1"/>
  <c r="I38" i="1" s="1"/>
  <c r="I39" i="1" s="1"/>
</calcChain>
</file>

<file path=xl/sharedStrings.xml><?xml version="1.0" encoding="utf-8"?>
<sst xmlns="http://schemas.openxmlformats.org/spreadsheetml/2006/main" count="116" uniqueCount="75">
  <si>
    <t>Rok</t>
  </si>
  <si>
    <t>Sprzedaż (tys. zł)</t>
  </si>
  <si>
    <t>Na podstawie danych z lat 2012-2023 dotyczących wartości sprzedaży spółki w mln. zł:</t>
  </si>
  <si>
    <t>Dane są informacje nt. liczby obsłużonych klientów w pewnej placówce handlowej, w latach 2005-2023</t>
  </si>
  <si>
    <t>Liczba klientów</t>
  </si>
  <si>
    <r>
      <t>Oceń na podstawie względnego błędu prognozy ex post ,która metoda daje lepsze wyniki prognoz</t>
    </r>
    <r>
      <rPr>
        <b/>
        <sz val="10"/>
        <color theme="1"/>
        <rFont val="Times New Roman"/>
        <family val="1"/>
        <charset val="238"/>
      </rPr>
      <t/>
    </r>
  </si>
  <si>
    <t>Zbadaj zmienność w szeregu przy pomocy miar statystycznych</t>
  </si>
  <si>
    <t>Wybranym schematem naiwnym wyznacz prognozę zjawiska w roku 2024</t>
  </si>
  <si>
    <t>Oceń zmienność w szeregów na podstawie współczynników zmienności</t>
  </si>
  <si>
    <t>Dobierz stałą wygładzania dla powyższych szeregów w schemacie prognostycznym średniej ruchomej zwykłej - dla k równego od 2 do 5, tak by minimalizować względny błąd ex post dla prognoz wygasłych</t>
  </si>
  <si>
    <t>Metodą średniej ruchomej prostej o stałej wygładzania k=2 wyznacz prognozę sprzedaży w roku 2024</t>
  </si>
  <si>
    <r>
      <t>Metodą średniej ruchomej ważonej ze stałą wygładzania k=3 i wagach w</t>
    </r>
    <r>
      <rPr>
        <vertAlign val="subscript"/>
        <sz val="12"/>
        <color theme="1"/>
        <rFont val="Calibri"/>
        <family val="2"/>
        <charset val="238"/>
        <scheme val="minor"/>
      </rPr>
      <t>1</t>
    </r>
    <r>
      <rPr>
        <sz val="12"/>
        <color theme="1"/>
        <rFont val="Calibri"/>
        <family val="2"/>
        <charset val="238"/>
        <scheme val="minor"/>
      </rPr>
      <t>=0,1 ; w</t>
    </r>
    <r>
      <rPr>
        <vertAlign val="subscript"/>
        <sz val="12"/>
        <color theme="1"/>
        <rFont val="Calibri"/>
        <family val="2"/>
        <charset val="238"/>
        <scheme val="minor"/>
      </rPr>
      <t>2</t>
    </r>
    <r>
      <rPr>
        <sz val="12"/>
        <color theme="1"/>
        <rFont val="Calibri"/>
        <family val="2"/>
        <charset val="238"/>
        <scheme val="minor"/>
      </rPr>
      <t>=0,2 ; w</t>
    </r>
    <r>
      <rPr>
        <vertAlign val="subscript"/>
        <sz val="12"/>
        <color theme="1"/>
        <rFont val="Calibri"/>
        <family val="2"/>
        <charset val="238"/>
        <scheme val="minor"/>
      </rPr>
      <t>3</t>
    </r>
    <r>
      <rPr>
        <sz val="12"/>
        <color theme="1"/>
        <rFont val="Calibri"/>
        <family val="2"/>
        <charset val="238"/>
        <scheme val="minor"/>
      </rPr>
      <t>=? wyznacz prognozę sprzedaży w roku 2024</t>
    </r>
  </si>
  <si>
    <r>
      <t>Oceń na podstawie względnego błędu prognozy ex post, która metoda daje lepsze wyniki prognoz</t>
    </r>
    <r>
      <rPr>
        <b/>
        <sz val="10"/>
        <color theme="1"/>
        <rFont val="Times New Roman"/>
        <family val="1"/>
        <charset val="238"/>
      </rPr>
      <t/>
    </r>
  </si>
  <si>
    <t>Sporządź wykres szeregu i prognoz wygasłych oraz na rok 2024</t>
  </si>
  <si>
    <t>Metodą średniej ruchomej prostej o stałej wygładzania k=5 wyznacz prognozę sprzedaży w roku 2024</t>
  </si>
  <si>
    <r>
      <t>Metodą średniej ruchomej ważonej ze stałą wygładzania k=4 i wagach w</t>
    </r>
    <r>
      <rPr>
        <vertAlign val="subscript"/>
        <sz val="12"/>
        <color theme="1"/>
        <rFont val="Calibri"/>
        <family val="2"/>
        <charset val="238"/>
        <scheme val="minor"/>
      </rPr>
      <t>1</t>
    </r>
    <r>
      <rPr>
        <sz val="12"/>
        <color theme="1"/>
        <rFont val="Calibri"/>
        <family val="2"/>
        <charset val="238"/>
        <scheme val="minor"/>
      </rPr>
      <t>=0,1 ; w</t>
    </r>
    <r>
      <rPr>
        <vertAlign val="subscript"/>
        <sz val="12"/>
        <color theme="1"/>
        <rFont val="Calibri"/>
        <family val="2"/>
        <charset val="238"/>
        <scheme val="minor"/>
      </rPr>
      <t>2</t>
    </r>
    <r>
      <rPr>
        <sz val="12"/>
        <color theme="1"/>
        <rFont val="Calibri"/>
        <family val="2"/>
        <charset val="238"/>
        <scheme val="minor"/>
      </rPr>
      <t>=0,15 ; w3=?; w</t>
    </r>
    <r>
      <rPr>
        <vertAlign val="subscript"/>
        <sz val="12"/>
        <color theme="1"/>
        <rFont val="Calibri"/>
        <family val="2"/>
        <charset val="238"/>
        <scheme val="minor"/>
      </rPr>
      <t>4</t>
    </r>
    <r>
      <rPr>
        <sz val="12"/>
        <color theme="1"/>
        <rFont val="Calibri"/>
        <family val="2"/>
        <charset val="238"/>
        <scheme val="minor"/>
      </rPr>
      <t>=0,55 wyznacz prognozę sprzedaży w roku 2024</t>
    </r>
  </si>
  <si>
    <t>Sprawdź przy użyciu solvera czy można dobrać inny schemat wag, minimalizujący błąd względny dla średniej ruchomej ważonej</t>
  </si>
  <si>
    <t>Dla wybranej stałej wygładzania w poprzednim podpunkcie zastosuj schemat średniej ruchomej ważonej dobierając schemat wag tak, by minimalizować względny błąd ex post dla prognoz wygasłych</t>
  </si>
  <si>
    <t>Najlepszym z powyższych schematów wyznacz prognozę kursu EUR oraz USD na okres kolejny</t>
  </si>
  <si>
    <t>Wykonaj wykresy szergów i prognoz w poszczególnych wariantach</t>
  </si>
  <si>
    <t>Czas</t>
  </si>
  <si>
    <t>t</t>
  </si>
  <si>
    <t>Yt</t>
  </si>
  <si>
    <t>średnia</t>
  </si>
  <si>
    <t>wariancja</t>
  </si>
  <si>
    <t>odchylenie std</t>
  </si>
  <si>
    <t>współ zmien</t>
  </si>
  <si>
    <t>do 10% zmienność niewielka</t>
  </si>
  <si>
    <t>1.</t>
  </si>
  <si>
    <t>okres prognozy</t>
  </si>
  <si>
    <t>Prognoza</t>
  </si>
  <si>
    <t>Y*t</t>
  </si>
  <si>
    <t>k=2</t>
  </si>
  <si>
    <t>średnia ruchoma prosta</t>
  </si>
  <si>
    <t>2.</t>
  </si>
  <si>
    <t>-</t>
  </si>
  <si>
    <t>3.</t>
  </si>
  <si>
    <t>k=3</t>
  </si>
  <si>
    <t>śr ważona</t>
  </si>
  <si>
    <t>w1</t>
  </si>
  <si>
    <t>w2</t>
  </si>
  <si>
    <t>w3</t>
  </si>
  <si>
    <t>wag tyle ile k</t>
  </si>
  <si>
    <t>suma wag =1</t>
  </si>
  <si>
    <t>suma iloczynów też można użyć\</t>
  </si>
  <si>
    <t>średnia da</t>
  </si>
  <si>
    <t>rade</t>
  </si>
  <si>
    <t>4.</t>
  </si>
  <si>
    <t>(Yt-Y*t)^2</t>
  </si>
  <si>
    <t>błędy kwadratowe</t>
  </si>
  <si>
    <t>śr kw błąd</t>
  </si>
  <si>
    <t>=S^2p</t>
  </si>
  <si>
    <t>sp=</t>
  </si>
  <si>
    <t>vp=</t>
  </si>
  <si>
    <t>do 10% prognozy dopusczlane</t>
  </si>
  <si>
    <t>lepsza prognoza śr.ruchoma ważona</t>
  </si>
  <si>
    <t>5.</t>
  </si>
  <si>
    <t>śpY*t</t>
  </si>
  <si>
    <t>śwY*t</t>
  </si>
  <si>
    <t>odch std</t>
  </si>
  <si>
    <t>wsp zmien</t>
  </si>
  <si>
    <t>Na podstawie danych NBP o kursie średnim EUR oraz USD w roku 2026</t>
  </si>
  <si>
    <t>śr waż</t>
  </si>
  <si>
    <t>śr pros k=5</t>
  </si>
  <si>
    <t>śr waż k=4</t>
  </si>
  <si>
    <t>wagi</t>
  </si>
  <si>
    <t>w4</t>
  </si>
  <si>
    <t>śr bł kw</t>
  </si>
  <si>
    <t>sp</t>
  </si>
  <si>
    <t>błedy kwadartowe</t>
  </si>
  <si>
    <t>naiw</t>
  </si>
  <si>
    <t>śr pr</t>
  </si>
  <si>
    <t>6.</t>
  </si>
  <si>
    <t>i rosnąco</t>
  </si>
  <si>
    <t>sovler dodać zę w przesziale od 0 do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</si>
</sst>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8" formatCode="0.0"/>
  </numFmts>
  <fonts count="9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Times New Roman"/>
      <family val="1"/>
      <charset val="238"/>
    </font>
    <font>
      <vertAlign val="subscript"/>
      <sz val="12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 applyBorder="1"/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ont="1"/>
    <xf numFmtId="3" fontId="6" fillId="0" borderId="1" xfId="0" applyNumberFormat="1" applyFont="1" applyBorder="1" applyAlignment="1">
      <alignment horizontal="center" vertical="center"/>
    </xf>
    <xf numFmtId="0" fontId="0" fillId="0" borderId="0" xfId="0"/>
    <xf numFmtId="10" fontId="0" fillId="0" borderId="0" xfId="0" applyNumberFormat="1"/>
    <xf numFmtId="0" fontId="8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0" fillId="0" borderId="0" xfId="0" quotePrefix="1"/>
    <xf numFmtId="0" fontId="0" fillId="0" borderId="0" xfId="0" quotePrefix="1" applyFill="1" applyBorder="1"/>
    <xf numFmtId="0" fontId="0" fillId="2" borderId="0" xfId="0" applyFill="1"/>
    <xf numFmtId="0" fontId="0" fillId="0" borderId="0" xfId="0" applyFill="1" applyBorder="1"/>
    <xf numFmtId="0" fontId="0" fillId="3" borderId="0" xfId="0" applyFill="1"/>
    <xf numFmtId="0" fontId="0" fillId="3" borderId="0" xfId="0" quotePrefix="1" applyFill="1"/>
    <xf numFmtId="165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165" fontId="0" fillId="4" borderId="0" xfId="0" applyNumberFormat="1" applyFill="1"/>
    <xf numFmtId="2" fontId="0" fillId="4" borderId="0" xfId="0" applyNumberFormat="1" applyFill="1"/>
    <xf numFmtId="10" fontId="0" fillId="4" borderId="0" xfId="0" applyNumberFormat="1" applyFill="1"/>
    <xf numFmtId="1" fontId="7" fillId="0" borderId="2" xfId="0" applyNumberFormat="1" applyFont="1" applyFill="1" applyBorder="1" applyAlignment="1">
      <alignment horizontal="center" vertical="center"/>
    </xf>
    <xf numFmtId="0" fontId="7" fillId="0" borderId="0" xfId="0" applyFont="1"/>
    <xf numFmtId="3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</a:t>
            </a:r>
            <a:r>
              <a:rPr lang="pl-PL" baseline="0"/>
              <a:t> ruchoma zad1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665826581803857"/>
          <c:y val="0.18817858954845257"/>
          <c:w val="0.760961147462201"/>
          <c:h val="0.5865382694743065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Zad1!$D$20:$D$21</c:f>
              <c:strCache>
                <c:ptCount val="2"/>
                <c:pt idx="0">
                  <c:v>Sprzedaż (tys. zł)</c:v>
                </c:pt>
                <c:pt idx="1">
                  <c:v>Yt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Zad1!$C$22:$C$33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Zad1!$D$22:$D$33</c:f>
              <c:numCache>
                <c:formatCode>General</c:formatCode>
                <c:ptCount val="12"/>
                <c:pt idx="0">
                  <c:v>37</c:v>
                </c:pt>
                <c:pt idx="1">
                  <c:v>35</c:v>
                </c:pt>
                <c:pt idx="2">
                  <c:v>39</c:v>
                </c:pt>
                <c:pt idx="3">
                  <c:v>37</c:v>
                </c:pt>
                <c:pt idx="4">
                  <c:v>35</c:v>
                </c:pt>
                <c:pt idx="5">
                  <c:v>38</c:v>
                </c:pt>
                <c:pt idx="6">
                  <c:v>37</c:v>
                </c:pt>
                <c:pt idx="7">
                  <c:v>39</c:v>
                </c:pt>
                <c:pt idx="8">
                  <c:v>38</c:v>
                </c:pt>
                <c:pt idx="9">
                  <c:v>36</c:v>
                </c:pt>
                <c:pt idx="10">
                  <c:v>37</c:v>
                </c:pt>
                <c:pt idx="11">
                  <c:v>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2B-44A3-8FBD-F870A5192F25}"/>
            </c:ext>
          </c:extLst>
        </c:ser>
        <c:ser>
          <c:idx val="1"/>
          <c:order val="1"/>
          <c:tx>
            <c:strRef>
              <c:f>Zad1!$E$21</c:f>
              <c:strCache>
                <c:ptCount val="1"/>
                <c:pt idx="0">
                  <c:v>śpY*t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Zad1!$C$24:$C$34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</c:numCache>
            </c:numRef>
          </c:xVal>
          <c:yVal>
            <c:numRef>
              <c:f>Zad1!$E$24:$E$34</c:f>
              <c:numCache>
                <c:formatCode>General</c:formatCode>
                <c:ptCount val="1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36</c:v>
                </c:pt>
                <c:pt idx="4">
                  <c:v>36.5</c:v>
                </c:pt>
                <c:pt idx="5">
                  <c:v>37.5</c:v>
                </c:pt>
                <c:pt idx="6">
                  <c:v>38</c:v>
                </c:pt>
                <c:pt idx="7">
                  <c:v>38.5</c:v>
                </c:pt>
                <c:pt idx="8">
                  <c:v>37</c:v>
                </c:pt>
                <c:pt idx="9">
                  <c:v>36.5</c:v>
                </c:pt>
                <c:pt idx="10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2B-44A3-8FBD-F870A5192F25}"/>
            </c:ext>
          </c:extLst>
        </c:ser>
        <c:ser>
          <c:idx val="2"/>
          <c:order val="2"/>
          <c:tx>
            <c:strRef>
              <c:f>Zad1!$F$21</c:f>
              <c:strCache>
                <c:ptCount val="1"/>
                <c:pt idx="0">
                  <c:v>śwY*t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Zad1!$C$25:$C$34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</c:numCache>
            </c:numRef>
          </c:xVal>
          <c:yVal>
            <c:numRef>
              <c:f>Zad1!$F$25:$F$34</c:f>
              <c:numCache>
                <c:formatCode>General</c:formatCode>
                <c:ptCount val="10"/>
                <c:pt idx="0">
                  <c:v>38</c:v>
                </c:pt>
                <c:pt idx="1">
                  <c:v>37.200000000000003</c:v>
                </c:pt>
                <c:pt idx="2">
                  <c:v>35.799999999999997</c:v>
                </c:pt>
                <c:pt idx="3">
                  <c:v>37.299999999999997</c:v>
                </c:pt>
                <c:pt idx="4">
                  <c:v>37</c:v>
                </c:pt>
                <c:pt idx="5">
                  <c:v>38.5</c:v>
                </c:pt>
                <c:pt idx="6">
                  <c:v>38.099999999999994</c:v>
                </c:pt>
                <c:pt idx="7">
                  <c:v>36.700000000000003</c:v>
                </c:pt>
                <c:pt idx="8">
                  <c:v>36.9</c:v>
                </c:pt>
                <c:pt idx="9">
                  <c:v>38.299999999999997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2B-44A3-8FBD-F870A5192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679903"/>
        <c:axId val="2013675327"/>
      </c:scatterChart>
      <c:valAx>
        <c:axId val="201367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</a:t>
                </a:r>
              </a:p>
            </c:rich>
          </c:tx>
          <c:layout>
            <c:manualLayout>
              <c:xMode val="edge"/>
              <c:yMode val="edge"/>
              <c:x val="0.26783258105395052"/>
              <c:y val="0.867046984423750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3675327"/>
        <c:crosses val="autoZero"/>
        <c:crossBetween val="midCat"/>
      </c:valAx>
      <c:valAx>
        <c:axId val="201367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yt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367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917590997327871"/>
          <c:y val="0.86837849606698703"/>
          <c:w val="0.23536486636353554"/>
          <c:h val="0.131621540728461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45720</xdr:colOff>
      <xdr:row>3</xdr:row>
      <xdr:rowOff>0</xdr:rowOff>
    </xdr:from>
    <xdr:to>
      <xdr:col>22</xdr:col>
      <xdr:colOff>408231</xdr:colOff>
      <xdr:row>11</xdr:row>
      <xdr:rowOff>4036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765ADC6-FCF1-4DA6-9022-225B22DF4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1720" y="579120"/>
          <a:ext cx="4020111" cy="1619476"/>
        </a:xfrm>
        <a:prstGeom prst="rect">
          <a:avLst/>
        </a:prstGeom>
      </xdr:spPr>
    </xdr:pic>
    <xdr:clientData/>
  </xdr:twoCellAnchor>
  <xdr:twoCellAnchor editAs="oneCell">
    <xdr:from>
      <xdr:col>15</xdr:col>
      <xdr:colOff>594360</xdr:colOff>
      <xdr:row>11</xdr:row>
      <xdr:rowOff>152400</xdr:rowOff>
    </xdr:from>
    <xdr:to>
      <xdr:col>21</xdr:col>
      <xdr:colOff>471028</xdr:colOff>
      <xdr:row>18</xdr:row>
      <xdr:rowOff>15400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989DF361-10DD-4936-BDCB-D284518AB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0760" y="2346960"/>
          <a:ext cx="3534268" cy="1143160"/>
        </a:xfrm>
        <a:prstGeom prst="rect">
          <a:avLst/>
        </a:prstGeom>
      </xdr:spPr>
    </xdr:pic>
    <xdr:clientData/>
  </xdr:twoCellAnchor>
  <xdr:twoCellAnchor editAs="oneCell">
    <xdr:from>
      <xdr:col>15</xdr:col>
      <xdr:colOff>426720</xdr:colOff>
      <xdr:row>21</xdr:row>
      <xdr:rowOff>30480</xdr:rowOff>
    </xdr:from>
    <xdr:to>
      <xdr:col>19</xdr:col>
      <xdr:colOff>379429</xdr:colOff>
      <xdr:row>24</xdr:row>
      <xdr:rowOff>17226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6A42BE72-57E4-4044-9113-58338DB1D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3120" y="4084320"/>
          <a:ext cx="2391109" cy="581106"/>
        </a:xfrm>
        <a:prstGeom prst="rect">
          <a:avLst/>
        </a:prstGeom>
      </xdr:spPr>
    </xdr:pic>
    <xdr:clientData/>
  </xdr:twoCellAnchor>
  <xdr:twoCellAnchor>
    <xdr:from>
      <xdr:col>13</xdr:col>
      <xdr:colOff>434340</xdr:colOff>
      <xdr:row>24</xdr:row>
      <xdr:rowOff>152400</xdr:rowOff>
    </xdr:from>
    <xdr:to>
      <xdr:col>22</xdr:col>
      <xdr:colOff>358140</xdr:colOff>
      <xdr:row>43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D14A535-4319-4018-AF5C-258216DFA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601981</xdr:colOff>
      <xdr:row>5</xdr:row>
      <xdr:rowOff>83820</xdr:rowOff>
    </xdr:from>
    <xdr:to>
      <xdr:col>22</xdr:col>
      <xdr:colOff>480061</xdr:colOff>
      <xdr:row>12</xdr:row>
      <xdr:rowOff>65217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11ABCEE1-9812-4AE3-8940-4E3D51232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021" y="998220"/>
          <a:ext cx="5509260" cy="1261557"/>
        </a:xfrm>
        <a:prstGeom prst="rect">
          <a:avLst/>
        </a:prstGeom>
      </xdr:spPr>
    </xdr:pic>
    <xdr:clientData/>
  </xdr:twoCellAnchor>
  <xdr:twoCellAnchor editAs="oneCell">
    <xdr:from>
      <xdr:col>14</xdr:col>
      <xdr:colOff>68580</xdr:colOff>
      <xdr:row>12</xdr:row>
      <xdr:rowOff>175260</xdr:rowOff>
    </xdr:from>
    <xdr:to>
      <xdr:col>20</xdr:col>
      <xdr:colOff>286311</xdr:colOff>
      <xdr:row>21</xdr:row>
      <xdr:rowOff>148816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A960F1DF-4F68-416E-A7CF-2F6C8DA5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9220" y="2369820"/>
          <a:ext cx="4020111" cy="1619476"/>
        </a:xfrm>
        <a:prstGeom prst="rect">
          <a:avLst/>
        </a:prstGeom>
      </xdr:spPr>
    </xdr:pic>
    <xdr:clientData/>
  </xdr:twoCellAnchor>
  <xdr:twoCellAnchor editAs="oneCell">
    <xdr:from>
      <xdr:col>15</xdr:col>
      <xdr:colOff>563880</xdr:colOff>
      <xdr:row>28</xdr:row>
      <xdr:rowOff>91440</xdr:rowOff>
    </xdr:from>
    <xdr:to>
      <xdr:col>21</xdr:col>
      <xdr:colOff>295768</xdr:colOff>
      <xdr:row>34</xdr:row>
      <xdr:rowOff>91600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915B5367-37C3-4BC3-9E73-45325FDE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04120" y="5303520"/>
          <a:ext cx="3534268" cy="1143160"/>
        </a:xfrm>
        <a:prstGeom prst="rect">
          <a:avLst/>
        </a:prstGeom>
      </xdr:spPr>
    </xdr:pic>
    <xdr:clientData/>
  </xdr:twoCellAnchor>
  <xdr:twoCellAnchor editAs="oneCell">
    <xdr:from>
      <xdr:col>1</xdr:col>
      <xdr:colOff>312420</xdr:colOff>
      <xdr:row>35</xdr:row>
      <xdr:rowOff>129540</xdr:rowOff>
    </xdr:from>
    <xdr:to>
      <xdr:col>4</xdr:col>
      <xdr:colOff>478489</xdr:colOff>
      <xdr:row>38</xdr:row>
      <xdr:rowOff>146766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C1A28293-7533-4A58-8917-541C7CF75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020" y="6682740"/>
          <a:ext cx="2391109" cy="581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9"/>
  <sheetViews>
    <sheetView topLeftCell="A19" workbookViewId="0">
      <selection activeCell="C46" sqref="C46"/>
    </sheetView>
  </sheetViews>
  <sheetFormatPr defaultRowHeight="14.4" x14ac:dyDescent="0.3"/>
  <cols>
    <col min="1" max="1" width="9.109375" style="18"/>
    <col min="4" max="4" width="10.88671875" customWidth="1"/>
  </cols>
  <sheetData>
    <row r="2" spans="1:16" ht="15.6" x14ac:dyDescent="0.3">
      <c r="B2" s="1" t="s">
        <v>2</v>
      </c>
      <c r="C2" s="2"/>
      <c r="D2" s="2"/>
      <c r="E2" s="2"/>
      <c r="F2" s="2"/>
      <c r="G2" s="2"/>
      <c r="H2" s="2"/>
      <c r="I2" s="2"/>
      <c r="J2" s="2"/>
    </row>
    <row r="3" spans="1:16" s="18" customFormat="1" ht="15.6" x14ac:dyDescent="0.3">
      <c r="B3" s="1"/>
      <c r="C3" s="2"/>
      <c r="D3" s="2"/>
      <c r="E3" s="2"/>
      <c r="F3" s="2"/>
      <c r="G3" s="2"/>
      <c r="H3" s="2"/>
      <c r="I3" s="2"/>
      <c r="J3" s="2"/>
    </row>
    <row r="4" spans="1:16" ht="15.6" x14ac:dyDescent="0.3">
      <c r="B4" s="3" t="s">
        <v>0</v>
      </c>
      <c r="C4" s="4">
        <v>2012</v>
      </c>
      <c r="D4" s="4">
        <v>2013</v>
      </c>
      <c r="E4" s="4">
        <v>2014</v>
      </c>
      <c r="F4" s="4">
        <v>2015</v>
      </c>
      <c r="G4" s="4">
        <v>2016</v>
      </c>
      <c r="H4" s="4">
        <v>2017</v>
      </c>
      <c r="I4" s="4">
        <v>2018</v>
      </c>
      <c r="J4" s="4">
        <v>2019</v>
      </c>
      <c r="K4" s="4">
        <v>2020</v>
      </c>
      <c r="L4" s="4">
        <v>2021</v>
      </c>
      <c r="M4" s="4">
        <v>2022</v>
      </c>
      <c r="N4" s="4">
        <v>2023</v>
      </c>
    </row>
    <row r="5" spans="1:16" ht="15.6" x14ac:dyDescent="0.3">
      <c r="B5" s="3" t="s">
        <v>1</v>
      </c>
      <c r="C5" s="5">
        <v>37</v>
      </c>
      <c r="D5" s="5">
        <v>35</v>
      </c>
      <c r="E5" s="5">
        <v>39</v>
      </c>
      <c r="F5" s="5">
        <v>37</v>
      </c>
      <c r="G5" s="5">
        <v>35</v>
      </c>
      <c r="H5" s="5">
        <v>38</v>
      </c>
      <c r="I5" s="5">
        <v>37</v>
      </c>
      <c r="J5" s="5">
        <v>39</v>
      </c>
      <c r="K5" s="6">
        <v>38</v>
      </c>
      <c r="L5" s="6">
        <v>36</v>
      </c>
      <c r="M5" s="6">
        <v>37</v>
      </c>
      <c r="N5" s="6">
        <v>39</v>
      </c>
    </row>
    <row r="6" spans="1:16" ht="15.6" x14ac:dyDescent="0.3">
      <c r="B6" s="11"/>
      <c r="C6" s="12"/>
      <c r="D6" s="12"/>
      <c r="E6" s="12"/>
      <c r="F6" s="12"/>
      <c r="G6" s="12"/>
      <c r="H6" s="12"/>
      <c r="I6" s="12"/>
      <c r="J6" s="12"/>
      <c r="K6" s="13"/>
      <c r="L6" s="13"/>
      <c r="M6" s="13"/>
      <c r="N6" s="13"/>
    </row>
    <row r="7" spans="1:16" ht="15.6" x14ac:dyDescent="0.3">
      <c r="A7" s="18">
        <v>1</v>
      </c>
      <c r="B7" s="11" t="s">
        <v>6</v>
      </c>
      <c r="C7" s="14"/>
      <c r="D7" s="14"/>
      <c r="E7" s="14"/>
      <c r="F7" s="14"/>
      <c r="G7" s="14"/>
      <c r="H7" s="14"/>
      <c r="I7" s="14"/>
      <c r="J7" s="14"/>
      <c r="K7" s="15"/>
      <c r="L7" s="15"/>
      <c r="M7" s="15"/>
      <c r="N7" s="15"/>
      <c r="O7" s="16"/>
      <c r="P7" s="16" t="s">
        <v>34</v>
      </c>
    </row>
    <row r="8" spans="1:16" ht="15.6" x14ac:dyDescent="0.3">
      <c r="A8" s="18">
        <v>2</v>
      </c>
      <c r="B8" s="1" t="s">
        <v>10</v>
      </c>
      <c r="C8" s="1"/>
      <c r="D8" s="1"/>
      <c r="E8" s="1"/>
      <c r="F8" s="1"/>
      <c r="G8" s="1"/>
      <c r="H8" s="1"/>
      <c r="I8" s="1"/>
      <c r="J8" s="1"/>
      <c r="K8" s="16"/>
      <c r="L8" s="16"/>
      <c r="M8" s="16"/>
      <c r="N8" s="16"/>
      <c r="O8" s="16"/>
      <c r="P8" s="16" t="s">
        <v>45</v>
      </c>
    </row>
    <row r="9" spans="1:16" ht="18" x14ac:dyDescent="0.4">
      <c r="A9" s="18">
        <v>3</v>
      </c>
      <c r="B9" s="1" t="s">
        <v>11</v>
      </c>
      <c r="C9" s="1"/>
      <c r="D9" s="1"/>
      <c r="E9" s="1"/>
      <c r="F9" s="1"/>
      <c r="G9" s="1"/>
      <c r="H9" s="1"/>
      <c r="I9" s="1"/>
      <c r="J9" s="1"/>
      <c r="K9" s="16"/>
      <c r="L9" s="16"/>
      <c r="M9" s="16"/>
      <c r="N9" s="16"/>
      <c r="O9" s="16"/>
      <c r="P9" s="16" t="s">
        <v>46</v>
      </c>
    </row>
    <row r="10" spans="1:16" ht="15.6" x14ac:dyDescent="0.3">
      <c r="A10" s="25">
        <v>4</v>
      </c>
      <c r="B10" s="1" t="s">
        <v>12</v>
      </c>
      <c r="C10" s="1"/>
      <c r="D10" s="1"/>
      <c r="E10" s="1"/>
      <c r="F10" s="1"/>
      <c r="G10" s="1"/>
      <c r="H10" s="1"/>
      <c r="I10" s="1"/>
      <c r="J10" s="1"/>
      <c r="K10" s="16"/>
      <c r="L10" s="16"/>
      <c r="M10" s="16"/>
      <c r="N10" s="16"/>
      <c r="O10" s="16"/>
      <c r="P10" s="16"/>
    </row>
    <row r="11" spans="1:16" ht="15.6" x14ac:dyDescent="0.3">
      <c r="A11" s="25">
        <v>5</v>
      </c>
      <c r="B11" s="7" t="s">
        <v>13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3" spans="1:16" x14ac:dyDescent="0.3">
      <c r="P13" t="s">
        <v>36</v>
      </c>
    </row>
    <row r="14" spans="1:16" x14ac:dyDescent="0.3">
      <c r="C14" s="24"/>
      <c r="D14" s="24"/>
      <c r="E14" s="24" t="s">
        <v>39</v>
      </c>
      <c r="F14" s="24">
        <v>0.1</v>
      </c>
    </row>
    <row r="15" spans="1:16" x14ac:dyDescent="0.3">
      <c r="C15" s="24" t="s">
        <v>42</v>
      </c>
      <c r="D15" s="24"/>
      <c r="E15" s="24" t="s">
        <v>40</v>
      </c>
      <c r="F15" s="24">
        <v>0.2</v>
      </c>
    </row>
    <row r="16" spans="1:16" x14ac:dyDescent="0.3">
      <c r="C16" s="24" t="s">
        <v>43</v>
      </c>
      <c r="D16" s="24"/>
      <c r="E16" s="24" t="s">
        <v>41</v>
      </c>
      <c r="F16" s="24">
        <v>0.7</v>
      </c>
    </row>
    <row r="18" spans="2:17" x14ac:dyDescent="0.3">
      <c r="E18" t="s">
        <v>33</v>
      </c>
      <c r="F18" t="s">
        <v>38</v>
      </c>
      <c r="G18" s="18" t="s">
        <v>33</v>
      </c>
      <c r="H18" s="18" t="s">
        <v>38</v>
      </c>
    </row>
    <row r="19" spans="2:17" s="18" customFormat="1" x14ac:dyDescent="0.3">
      <c r="E19" s="18" t="s">
        <v>32</v>
      </c>
      <c r="F19" s="24" t="s">
        <v>37</v>
      </c>
    </row>
    <row r="20" spans="2:17" ht="15.6" x14ac:dyDescent="0.3">
      <c r="B20" s="4" t="s">
        <v>0</v>
      </c>
      <c r="C20" s="9" t="s">
        <v>20</v>
      </c>
      <c r="D20" s="4" t="s">
        <v>1</v>
      </c>
      <c r="E20" t="s">
        <v>30</v>
      </c>
      <c r="F20" t="s">
        <v>30</v>
      </c>
      <c r="G20" t="s">
        <v>49</v>
      </c>
      <c r="Q20" t="s">
        <v>44</v>
      </c>
    </row>
    <row r="21" spans="2:17" s="18" customFormat="1" ht="15.6" x14ac:dyDescent="0.3">
      <c r="B21" s="4"/>
      <c r="C21" s="9" t="s">
        <v>21</v>
      </c>
      <c r="D21" s="4" t="s">
        <v>22</v>
      </c>
      <c r="E21" s="18" t="s">
        <v>57</v>
      </c>
      <c r="F21" s="18" t="s">
        <v>58</v>
      </c>
      <c r="G21" s="18" t="s">
        <v>48</v>
      </c>
      <c r="H21" s="25" t="s">
        <v>48</v>
      </c>
    </row>
    <row r="22" spans="2:17" ht="15.6" x14ac:dyDescent="0.3">
      <c r="B22" s="4">
        <v>2012</v>
      </c>
      <c r="C22" s="9">
        <v>1</v>
      </c>
      <c r="D22" s="5">
        <v>37</v>
      </c>
      <c r="E22" s="23" t="s">
        <v>35</v>
      </c>
      <c r="F22" s="22" t="s">
        <v>35</v>
      </c>
      <c r="G22" s="22" t="s">
        <v>35</v>
      </c>
      <c r="H22" s="23" t="s">
        <v>35</v>
      </c>
      <c r="P22" s="24" t="s">
        <v>47</v>
      </c>
    </row>
    <row r="23" spans="2:17" ht="15.6" x14ac:dyDescent="0.3">
      <c r="B23" s="4">
        <v>2013</v>
      </c>
      <c r="C23" s="9">
        <v>2</v>
      </c>
      <c r="D23" s="5">
        <v>35</v>
      </c>
      <c r="E23" s="23" t="s">
        <v>35</v>
      </c>
      <c r="F23" s="22" t="s">
        <v>35</v>
      </c>
      <c r="G23" s="22" t="s">
        <v>35</v>
      </c>
      <c r="H23" s="23" t="s">
        <v>35</v>
      </c>
    </row>
    <row r="24" spans="2:17" ht="15.6" x14ac:dyDescent="0.3">
      <c r="B24" s="4">
        <v>2014</v>
      </c>
      <c r="C24" s="9">
        <v>3</v>
      </c>
      <c r="D24" s="5">
        <v>39</v>
      </c>
      <c r="E24">
        <f>1/2*SUM(D22:D23)</f>
        <v>36</v>
      </c>
      <c r="F24" s="22" t="s">
        <v>35</v>
      </c>
      <c r="G24">
        <f>(D24-E24)^2</f>
        <v>9</v>
      </c>
      <c r="H24" s="23" t="s">
        <v>35</v>
      </c>
    </row>
    <row r="25" spans="2:17" ht="15.6" x14ac:dyDescent="0.3">
      <c r="B25" s="4">
        <v>2015</v>
      </c>
      <c r="C25" s="9">
        <v>4</v>
      </c>
      <c r="D25" s="5">
        <v>37</v>
      </c>
      <c r="E25" s="18">
        <f>1/2*SUM(D23:D24)</f>
        <v>37</v>
      </c>
      <c r="F25">
        <f>D22*$F$14+D23*$F$15+D24*$F$16</f>
        <v>38</v>
      </c>
      <c r="G25" s="18">
        <f t="shared" ref="G25:G33" si="0">(D25-E25)^2</f>
        <v>0</v>
      </c>
      <c r="H25">
        <f>(D25-F25)^2</f>
        <v>1</v>
      </c>
    </row>
    <row r="26" spans="2:17" ht="15.6" x14ac:dyDescent="0.3">
      <c r="B26" s="4">
        <v>2016</v>
      </c>
      <c r="C26" s="9">
        <v>5</v>
      </c>
      <c r="D26" s="5">
        <v>35</v>
      </c>
      <c r="E26" s="18">
        <f t="shared" ref="E26:E34" si="1">1/2*SUM(D24:D25)</f>
        <v>38</v>
      </c>
      <c r="F26" s="18">
        <f>D23*$F$14+D24*$F$15+D25*$F$16</f>
        <v>37.200000000000003</v>
      </c>
      <c r="G26" s="18">
        <f t="shared" si="0"/>
        <v>9</v>
      </c>
      <c r="H26" s="18">
        <f t="shared" ref="H26:H33" si="2">(D26-F26)^2</f>
        <v>4.8400000000000123</v>
      </c>
    </row>
    <row r="27" spans="2:17" ht="15.6" x14ac:dyDescent="0.3">
      <c r="B27" s="4">
        <v>2017</v>
      </c>
      <c r="C27" s="9">
        <v>6</v>
      </c>
      <c r="D27" s="5">
        <v>38</v>
      </c>
      <c r="E27" s="18">
        <f t="shared" si="1"/>
        <v>36</v>
      </c>
      <c r="F27" s="18">
        <f t="shared" ref="F27:F34" si="3">D24*$F$14+D25*$F$15+D26*$F$16</f>
        <v>35.799999999999997</v>
      </c>
      <c r="G27" s="18">
        <f t="shared" si="0"/>
        <v>4</v>
      </c>
      <c r="H27" s="18">
        <f t="shared" si="2"/>
        <v>4.8400000000000123</v>
      </c>
      <c r="M27" t="s">
        <v>56</v>
      </c>
    </row>
    <row r="28" spans="2:17" ht="15.6" x14ac:dyDescent="0.3">
      <c r="B28" s="4">
        <v>2018</v>
      </c>
      <c r="C28" s="9">
        <v>7</v>
      </c>
      <c r="D28" s="5">
        <v>37</v>
      </c>
      <c r="E28" s="18">
        <f t="shared" si="1"/>
        <v>36.5</v>
      </c>
      <c r="F28" s="18">
        <f t="shared" si="3"/>
        <v>37.299999999999997</v>
      </c>
      <c r="G28" s="18">
        <f t="shared" si="0"/>
        <v>0.25</v>
      </c>
      <c r="H28" s="18">
        <f t="shared" si="2"/>
        <v>8.999999999999829E-2</v>
      </c>
    </row>
    <row r="29" spans="2:17" ht="15.6" x14ac:dyDescent="0.3">
      <c r="B29" s="4">
        <v>2019</v>
      </c>
      <c r="C29" s="9">
        <v>8</v>
      </c>
      <c r="D29" s="5">
        <v>39</v>
      </c>
      <c r="E29" s="18">
        <f t="shared" si="1"/>
        <v>37.5</v>
      </c>
      <c r="F29" s="18">
        <f t="shared" si="3"/>
        <v>37</v>
      </c>
      <c r="G29" s="18">
        <f t="shared" si="0"/>
        <v>2.25</v>
      </c>
      <c r="H29" s="18">
        <f t="shared" si="2"/>
        <v>4</v>
      </c>
    </row>
    <row r="30" spans="2:17" ht="15.6" x14ac:dyDescent="0.3">
      <c r="B30" s="4">
        <v>2020</v>
      </c>
      <c r="C30" s="9">
        <v>9</v>
      </c>
      <c r="D30" s="6">
        <v>38</v>
      </c>
      <c r="E30" s="18">
        <f t="shared" si="1"/>
        <v>38</v>
      </c>
      <c r="F30" s="18">
        <f t="shared" si="3"/>
        <v>38.5</v>
      </c>
      <c r="G30" s="18">
        <f t="shared" si="0"/>
        <v>0</v>
      </c>
      <c r="H30" s="18">
        <f t="shared" si="2"/>
        <v>0.25</v>
      </c>
    </row>
    <row r="31" spans="2:17" ht="15.6" x14ac:dyDescent="0.3">
      <c r="B31" s="4">
        <v>2021</v>
      </c>
      <c r="C31" s="9">
        <v>10</v>
      </c>
      <c r="D31" s="6">
        <v>36</v>
      </c>
      <c r="E31" s="18">
        <f t="shared" si="1"/>
        <v>38.5</v>
      </c>
      <c r="F31" s="18">
        <f t="shared" si="3"/>
        <v>38.099999999999994</v>
      </c>
      <c r="G31" s="18">
        <f t="shared" si="0"/>
        <v>6.25</v>
      </c>
      <c r="H31" s="18">
        <f t="shared" si="2"/>
        <v>4.4099999999999762</v>
      </c>
    </row>
    <row r="32" spans="2:17" ht="15.6" x14ac:dyDescent="0.3">
      <c r="B32" s="4">
        <v>2022</v>
      </c>
      <c r="C32" s="9">
        <v>11</v>
      </c>
      <c r="D32" s="6">
        <v>37</v>
      </c>
      <c r="E32" s="18">
        <f t="shared" si="1"/>
        <v>37</v>
      </c>
      <c r="F32" s="18">
        <f t="shared" si="3"/>
        <v>36.700000000000003</v>
      </c>
      <c r="G32" s="18">
        <f t="shared" si="0"/>
        <v>0</v>
      </c>
      <c r="H32" s="18">
        <f t="shared" si="2"/>
        <v>8.999999999999829E-2</v>
      </c>
    </row>
    <row r="33" spans="1:10" ht="15.6" x14ac:dyDescent="0.3">
      <c r="B33" s="4">
        <v>2023</v>
      </c>
      <c r="C33" s="9">
        <v>12</v>
      </c>
      <c r="D33" s="6">
        <v>39</v>
      </c>
      <c r="E33" s="18">
        <f t="shared" si="1"/>
        <v>36.5</v>
      </c>
      <c r="F33" s="18">
        <f t="shared" si="3"/>
        <v>36.9</v>
      </c>
      <c r="G33" s="18">
        <f t="shared" si="0"/>
        <v>6.25</v>
      </c>
      <c r="H33" s="18">
        <f t="shared" si="2"/>
        <v>4.4100000000000064</v>
      </c>
    </row>
    <row r="34" spans="1:10" ht="15.6" x14ac:dyDescent="0.3">
      <c r="A34" s="18" t="s">
        <v>29</v>
      </c>
      <c r="B34" s="20">
        <v>2024</v>
      </c>
      <c r="C34" s="21">
        <v>13</v>
      </c>
      <c r="E34" s="18">
        <f t="shared" si="1"/>
        <v>38</v>
      </c>
      <c r="F34" s="18">
        <f t="shared" si="3"/>
        <v>38.299999999999997</v>
      </c>
    </row>
    <row r="35" spans="1:10" x14ac:dyDescent="0.3">
      <c r="A35" s="18" t="s">
        <v>28</v>
      </c>
      <c r="B35" s="30" t="s">
        <v>23</v>
      </c>
      <c r="C35" s="30"/>
      <c r="D35" s="30">
        <f>AVERAGE(D22:D33)</f>
        <v>37.25</v>
      </c>
      <c r="E35" s="30"/>
    </row>
    <row r="36" spans="1:10" x14ac:dyDescent="0.3">
      <c r="B36" s="30" t="s">
        <v>24</v>
      </c>
      <c r="C36" s="30"/>
      <c r="D36" s="31">
        <f>_xlfn.VAR.P(D22:D33)</f>
        <v>1.8541666666666667</v>
      </c>
      <c r="E36" s="30"/>
      <c r="F36" s="26" t="s">
        <v>50</v>
      </c>
      <c r="G36" s="26">
        <f>AVERAGE(G24:G33)</f>
        <v>3.7</v>
      </c>
      <c r="H36" s="26">
        <f>AVERAGE(H25:H33)</f>
        <v>2.6588888888888897</v>
      </c>
      <c r="I36" s="27" t="s">
        <v>51</v>
      </c>
      <c r="J36" s="24" t="s">
        <v>47</v>
      </c>
    </row>
    <row r="37" spans="1:10" x14ac:dyDescent="0.3">
      <c r="B37" s="30" t="s">
        <v>25</v>
      </c>
      <c r="C37" s="30"/>
      <c r="D37" s="32">
        <f>_xlfn.STDEV.P(D22:D33)</f>
        <v>1.3616778865306827</v>
      </c>
      <c r="E37" s="30"/>
      <c r="F37" s="26" t="s">
        <v>52</v>
      </c>
      <c r="G37" s="28">
        <f>SQRT(G36)</f>
        <v>1.9235384061671346</v>
      </c>
      <c r="H37" s="28">
        <f>SQRT(H36)</f>
        <v>1.630609974484668</v>
      </c>
      <c r="I37" s="26"/>
    </row>
    <row r="38" spans="1:10" x14ac:dyDescent="0.3">
      <c r="B38" s="30" t="s">
        <v>26</v>
      </c>
      <c r="C38" s="30"/>
      <c r="D38" s="31">
        <f>D37/D35</f>
        <v>3.6555111047803561E-2</v>
      </c>
      <c r="E38" s="33">
        <f>D38</f>
        <v>3.6555111047803561E-2</v>
      </c>
      <c r="F38" s="26" t="s">
        <v>53</v>
      </c>
      <c r="G38" s="29">
        <f>G37/$D$35</f>
        <v>5.1638614930661332E-2</v>
      </c>
      <c r="H38" s="29">
        <f>H37/$D$35</f>
        <v>4.3774764415695784E-2</v>
      </c>
      <c r="I38" s="26" t="s">
        <v>54</v>
      </c>
    </row>
    <row r="39" spans="1:10" x14ac:dyDescent="0.3">
      <c r="B39" s="30"/>
      <c r="C39" s="30"/>
      <c r="D39" s="30"/>
      <c r="E39" s="30" t="s">
        <v>27</v>
      </c>
      <c r="I39" t="s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"/>
  <sheetViews>
    <sheetView tabSelected="1" topLeftCell="A31" workbookViewId="0">
      <selection activeCell="N46" sqref="N46"/>
    </sheetView>
  </sheetViews>
  <sheetFormatPr defaultRowHeight="14.4" x14ac:dyDescent="0.3"/>
  <cols>
    <col min="3" max="3" width="14.6640625" bestFit="1" customWidth="1"/>
    <col min="7" max="7" width="19.6640625" customWidth="1"/>
    <col min="8" max="8" width="13.77734375" customWidth="1"/>
    <col min="9" max="9" width="9.88671875" bestFit="1" customWidth="1"/>
    <col min="16" max="16" width="11" bestFit="1" customWidth="1"/>
  </cols>
  <sheetData>
    <row r="1" spans="2:17" s="18" customFormat="1" x14ac:dyDescent="0.3"/>
    <row r="2" spans="2:17" x14ac:dyDescent="0.3">
      <c r="B2" t="s">
        <v>3</v>
      </c>
      <c r="N2" t="s">
        <v>28</v>
      </c>
      <c r="O2" t="s">
        <v>23</v>
      </c>
      <c r="P2" s="36">
        <f>AVERAGE(C5:C23)</f>
        <v>141439.63157894736</v>
      </c>
    </row>
    <row r="3" spans="2:17" x14ac:dyDescent="0.3">
      <c r="E3" t="s">
        <v>63</v>
      </c>
      <c r="F3" t="s">
        <v>64</v>
      </c>
      <c r="G3" t="s">
        <v>69</v>
      </c>
      <c r="O3" t="s">
        <v>24</v>
      </c>
      <c r="P3" s="38">
        <f>_xlfn.VAR.P(C5:C23)</f>
        <v>59852243.285318561</v>
      </c>
    </row>
    <row r="4" spans="2:17" x14ac:dyDescent="0.3">
      <c r="B4" s="9" t="s">
        <v>0</v>
      </c>
      <c r="C4" s="10" t="s">
        <v>4</v>
      </c>
      <c r="D4" t="s">
        <v>31</v>
      </c>
      <c r="G4" t="s">
        <v>70</v>
      </c>
      <c r="H4" t="s">
        <v>71</v>
      </c>
      <c r="I4" t="s">
        <v>62</v>
      </c>
      <c r="O4" t="s">
        <v>59</v>
      </c>
      <c r="P4">
        <f>_xlfn.STDEV.P(C5:C23)</f>
        <v>7736.4231583670862</v>
      </c>
    </row>
    <row r="5" spans="2:17" x14ac:dyDescent="0.3">
      <c r="B5" s="8">
        <v>2005</v>
      </c>
      <c r="C5" s="17">
        <v>128803</v>
      </c>
      <c r="D5" s="22" t="s">
        <v>35</v>
      </c>
      <c r="E5" s="22" t="s">
        <v>35</v>
      </c>
      <c r="F5" s="22" t="s">
        <v>35</v>
      </c>
      <c r="O5" t="s">
        <v>60</v>
      </c>
      <c r="P5">
        <f>P4/P2</f>
        <v>5.4697704398705582E-2</v>
      </c>
      <c r="Q5" s="19">
        <f>P5</f>
        <v>5.4697704398705582E-2</v>
      </c>
    </row>
    <row r="6" spans="2:17" x14ac:dyDescent="0.3">
      <c r="B6" s="8">
        <v>2006</v>
      </c>
      <c r="C6" s="17">
        <v>131336</v>
      </c>
      <c r="D6" s="22" t="s">
        <v>35</v>
      </c>
      <c r="E6" s="22" t="s">
        <v>35</v>
      </c>
      <c r="F6" s="22" t="s">
        <v>35</v>
      </c>
    </row>
    <row r="7" spans="2:17" x14ac:dyDescent="0.3">
      <c r="B7" s="8">
        <v>2007</v>
      </c>
      <c r="C7" s="17">
        <v>132211</v>
      </c>
      <c r="D7">
        <f>C6*(C6/C5)</f>
        <v>133918.81319534482</v>
      </c>
      <c r="E7" s="22" t="s">
        <v>35</v>
      </c>
      <c r="F7" s="22" t="s">
        <v>35</v>
      </c>
      <c r="G7" s="36">
        <f>(C7-D7)^2</f>
        <v>2916625.9101938754</v>
      </c>
      <c r="N7" t="s">
        <v>34</v>
      </c>
    </row>
    <row r="8" spans="2:17" x14ac:dyDescent="0.3">
      <c r="B8" s="8">
        <v>2008</v>
      </c>
      <c r="C8" s="17">
        <v>135900</v>
      </c>
      <c r="D8" s="18">
        <f t="shared" ref="D8:D24" si="0">C7*(C7/C6)</f>
        <v>133091.82951361395</v>
      </c>
      <c r="E8" s="22" t="s">
        <v>35</v>
      </c>
      <c r="F8" s="22" t="s">
        <v>35</v>
      </c>
      <c r="G8" s="36">
        <f t="shared" ref="G8:G24" si="1">(C8-D8)^2</f>
        <v>7885821.4806096675</v>
      </c>
    </row>
    <row r="9" spans="2:17" x14ac:dyDescent="0.3">
      <c r="B9" s="8">
        <v>2009</v>
      </c>
      <c r="C9" s="17">
        <v>139593</v>
      </c>
      <c r="D9" s="18">
        <f t="shared" si="0"/>
        <v>139691.93183623147</v>
      </c>
      <c r="E9" s="22" t="s">
        <v>35</v>
      </c>
      <c r="F9">
        <f>C5*$S$25+C6*$S$26+C7*$S$27+C8*$S$28</f>
        <v>133767.9</v>
      </c>
      <c r="G9" s="36">
        <f t="shared" si="1"/>
        <v>9787.5082201296391</v>
      </c>
      <c r="I9" s="36">
        <f>(C9-F9)^2</f>
        <v>33931790.010000065</v>
      </c>
    </row>
    <row r="10" spans="2:17" x14ac:dyDescent="0.3">
      <c r="B10" s="8">
        <v>2010</v>
      </c>
      <c r="C10" s="17">
        <v>140228</v>
      </c>
      <c r="D10" s="18">
        <f t="shared" si="0"/>
        <v>143386.3550331126</v>
      </c>
      <c r="E10">
        <f>1/5*SUM(C5:C9)</f>
        <v>133568.6</v>
      </c>
      <c r="F10" s="18">
        <f t="shared" ref="F10:F24" si="2">C6*$S$25+C7*$S$26+C8*$S$27+C9*$S$28</f>
        <v>136921.4</v>
      </c>
      <c r="G10" s="36">
        <f t="shared" si="1"/>
        <v>9975206.5151877087</v>
      </c>
      <c r="H10" s="36">
        <f>(C10-E10)^2</f>
        <v>44347608.359999925</v>
      </c>
      <c r="I10" s="36">
        <f t="shared" ref="I10:I23" si="3">(C10-F10)^2</f>
        <v>10933603.560000038</v>
      </c>
    </row>
    <row r="11" spans="2:17" x14ac:dyDescent="0.3">
      <c r="B11" s="8">
        <v>2011</v>
      </c>
      <c r="C11" s="17">
        <v>138770</v>
      </c>
      <c r="D11" s="18">
        <f t="shared" si="0"/>
        <v>140865.88857607471</v>
      </c>
      <c r="E11" s="18">
        <f t="shared" ref="E11:E24" si="4">1/5*SUM(C6:C10)</f>
        <v>135853.6</v>
      </c>
      <c r="F11" s="18">
        <f t="shared" si="2"/>
        <v>138650.1</v>
      </c>
      <c r="G11" s="36">
        <f t="shared" si="1"/>
        <v>4392748.9233204629</v>
      </c>
      <c r="H11" s="36">
        <f t="shared" ref="H11:H23" si="5">(C11-E11)^2</f>
        <v>8505388.9599999655</v>
      </c>
      <c r="I11" s="36">
        <f t="shared" si="3"/>
        <v>14376.009999998605</v>
      </c>
    </row>
    <row r="12" spans="2:17" x14ac:dyDescent="0.3">
      <c r="B12" s="8">
        <v>2012</v>
      </c>
      <c r="C12" s="17">
        <v>136351</v>
      </c>
      <c r="D12" s="18">
        <f t="shared" si="0"/>
        <v>137327.15934050261</v>
      </c>
      <c r="E12" s="18">
        <f t="shared" si="4"/>
        <v>137340.4</v>
      </c>
      <c r="F12" s="18">
        <f t="shared" si="2"/>
        <v>138898.04999999999</v>
      </c>
      <c r="G12" s="36">
        <f t="shared" si="1"/>
        <v>952887.05805048451</v>
      </c>
      <c r="H12" s="36">
        <f t="shared" si="5"/>
        <v>978912.35999998846</v>
      </c>
      <c r="I12" s="36">
        <f t="shared" si="3"/>
        <v>6487463.702499941</v>
      </c>
    </row>
    <row r="13" spans="2:17" x14ac:dyDescent="0.3">
      <c r="B13" s="8">
        <v>2013</v>
      </c>
      <c r="C13" s="17">
        <v>138043</v>
      </c>
      <c r="D13" s="18">
        <f t="shared" si="0"/>
        <v>133974.16733443827</v>
      </c>
      <c r="E13" s="18">
        <f t="shared" si="4"/>
        <v>138168.4</v>
      </c>
      <c r="F13" s="18">
        <f t="shared" si="2"/>
        <v>137740.54999999999</v>
      </c>
      <c r="G13" s="36">
        <f t="shared" si="1"/>
        <v>16555399.260342153</v>
      </c>
      <c r="H13" s="36">
        <f t="shared" si="5"/>
        <v>15725.159999998541</v>
      </c>
      <c r="I13" s="36">
        <f t="shared" si="3"/>
        <v>91476.002500007045</v>
      </c>
    </row>
    <row r="14" spans="2:17" x14ac:dyDescent="0.3">
      <c r="B14" s="8">
        <v>2014</v>
      </c>
      <c r="C14" s="17">
        <v>137843</v>
      </c>
      <c r="D14" s="18">
        <f t="shared" si="0"/>
        <v>139755.99628165542</v>
      </c>
      <c r="E14" s="18">
        <f t="shared" si="4"/>
        <v>138597</v>
      </c>
      <c r="F14" s="18">
        <f t="shared" si="2"/>
        <v>138032.15000000002</v>
      </c>
      <c r="G14" s="36">
        <f t="shared" si="1"/>
        <v>3659554.7736274553</v>
      </c>
      <c r="H14" s="36">
        <f t="shared" si="5"/>
        <v>568516</v>
      </c>
      <c r="I14" s="36">
        <f t="shared" si="3"/>
        <v>35777.722500008807</v>
      </c>
      <c r="N14" t="s">
        <v>36</v>
      </c>
    </row>
    <row r="15" spans="2:17" x14ac:dyDescent="0.3">
      <c r="B15" s="8">
        <v>2015</v>
      </c>
      <c r="C15" s="17">
        <v>136165</v>
      </c>
      <c r="D15" s="18">
        <f t="shared" si="0"/>
        <v>137643.28976478343</v>
      </c>
      <c r="E15" s="18">
        <f t="shared" si="4"/>
        <v>138247</v>
      </c>
      <c r="F15" s="18">
        <f t="shared" si="2"/>
        <v>137751.9</v>
      </c>
      <c r="G15" s="36">
        <f t="shared" si="1"/>
        <v>2185340.6286634561</v>
      </c>
      <c r="H15" s="36">
        <f t="shared" si="5"/>
        <v>4334724</v>
      </c>
      <c r="I15" s="36">
        <f t="shared" si="3"/>
        <v>2518251.6099999817</v>
      </c>
    </row>
    <row r="16" spans="2:17" x14ac:dyDescent="0.3">
      <c r="B16" s="8">
        <v>2016</v>
      </c>
      <c r="C16" s="17">
        <v>140590</v>
      </c>
      <c r="D16" s="18">
        <f t="shared" si="0"/>
        <v>134507.42674637085</v>
      </c>
      <c r="E16" s="18">
        <f t="shared" si="4"/>
        <v>137434.4</v>
      </c>
      <c r="F16" s="18">
        <f t="shared" si="2"/>
        <v>136800.9</v>
      </c>
      <c r="G16" s="36">
        <f t="shared" si="1"/>
        <v>36997697.385764666</v>
      </c>
      <c r="H16" s="36">
        <f t="shared" si="5"/>
        <v>9957811.3600000367</v>
      </c>
      <c r="I16" s="36">
        <f t="shared" si="3"/>
        <v>14357278.810000043</v>
      </c>
    </row>
    <row r="17" spans="1:19" x14ac:dyDescent="0.3">
      <c r="B17" s="8">
        <v>2017</v>
      </c>
      <c r="C17" s="17">
        <v>144069</v>
      </c>
      <c r="D17" s="18">
        <f t="shared" si="0"/>
        <v>145158.80071971507</v>
      </c>
      <c r="E17" s="18">
        <f t="shared" si="4"/>
        <v>137798.39999999999</v>
      </c>
      <c r="F17" s="18">
        <f t="shared" si="2"/>
        <v>139038.25</v>
      </c>
      <c r="G17" s="36">
        <f t="shared" si="1"/>
        <v>1187665.6086914907</v>
      </c>
      <c r="H17" s="36">
        <f t="shared" si="5"/>
        <v>39320424.360000074</v>
      </c>
      <c r="I17" s="36">
        <f t="shared" si="3"/>
        <v>25308445.5625</v>
      </c>
    </row>
    <row r="18" spans="1:19" x14ac:dyDescent="0.3">
      <c r="B18" s="8">
        <v>2018</v>
      </c>
      <c r="C18" s="17">
        <v>144838</v>
      </c>
      <c r="D18" s="18">
        <f t="shared" si="0"/>
        <v>147634.09034070701</v>
      </c>
      <c r="E18" s="18">
        <f t="shared" si="4"/>
        <v>139342</v>
      </c>
      <c r="F18" s="18">
        <f t="shared" si="2"/>
        <v>141565</v>
      </c>
      <c r="G18" s="36">
        <f t="shared" si="1"/>
        <v>7818121.1933950689</v>
      </c>
      <c r="H18" s="36">
        <f t="shared" si="5"/>
        <v>30206016</v>
      </c>
      <c r="I18" s="36">
        <f t="shared" si="3"/>
        <v>10712529</v>
      </c>
    </row>
    <row r="19" spans="1:19" x14ac:dyDescent="0.3">
      <c r="B19" s="8">
        <v>2019</v>
      </c>
      <c r="C19" s="17">
        <v>149847</v>
      </c>
      <c r="D19" s="18">
        <f t="shared" si="0"/>
        <v>145611.10470677246</v>
      </c>
      <c r="E19" s="18">
        <f t="shared" si="4"/>
        <v>140701</v>
      </c>
      <c r="F19" s="18">
        <f t="shared" si="2"/>
        <v>143179.70000000001</v>
      </c>
      <c r="G19" s="36">
        <f t="shared" si="1"/>
        <v>17942808.935187247</v>
      </c>
      <c r="H19" s="36">
        <f t="shared" si="5"/>
        <v>83649316</v>
      </c>
      <c r="I19" s="36">
        <f t="shared" si="3"/>
        <v>44452889.289999843</v>
      </c>
    </row>
    <row r="20" spans="1:19" x14ac:dyDescent="0.3">
      <c r="B20" s="8">
        <v>2020</v>
      </c>
      <c r="C20" s="17">
        <v>154170</v>
      </c>
      <c r="D20" s="18">
        <f t="shared" si="0"/>
        <v>155029.22857951641</v>
      </c>
      <c r="E20" s="18">
        <f t="shared" si="4"/>
        <v>143101.80000000002</v>
      </c>
      <c r="F20" s="18">
        <f t="shared" si="2"/>
        <v>147052.79999999999</v>
      </c>
      <c r="G20" s="36">
        <f t="shared" si="1"/>
        <v>738273.75185778108</v>
      </c>
      <c r="H20" s="36">
        <f t="shared" si="5"/>
        <v>122505051.23999961</v>
      </c>
      <c r="I20" s="36">
        <f t="shared" si="3"/>
        <v>50654535.840000167</v>
      </c>
    </row>
    <row r="21" spans="1:19" x14ac:dyDescent="0.3">
      <c r="B21" s="8">
        <v>2021</v>
      </c>
      <c r="C21" s="17">
        <v>154890</v>
      </c>
      <c r="D21" s="18">
        <f t="shared" si="0"/>
        <v>158617.71607039179</v>
      </c>
      <c r="E21" s="18">
        <f t="shared" si="4"/>
        <v>146702.80000000002</v>
      </c>
      <c r="F21" s="18">
        <f t="shared" si="2"/>
        <v>150895.5</v>
      </c>
      <c r="G21" s="36">
        <f t="shared" si="1"/>
        <v>13895867.101457214</v>
      </c>
      <c r="H21" s="36">
        <f t="shared" si="5"/>
        <v>67030243.839999713</v>
      </c>
      <c r="I21" s="36">
        <f t="shared" si="3"/>
        <v>15956030.25</v>
      </c>
    </row>
    <row r="22" spans="1:19" x14ac:dyDescent="0.3">
      <c r="B22" s="8">
        <v>2022</v>
      </c>
      <c r="C22" s="17">
        <v>148718</v>
      </c>
      <c r="D22" s="18">
        <f t="shared" si="0"/>
        <v>155613.36252189142</v>
      </c>
      <c r="E22" s="18">
        <f t="shared" si="4"/>
        <v>149562.80000000002</v>
      </c>
      <c r="F22" s="18">
        <f t="shared" si="2"/>
        <v>152984.34999999998</v>
      </c>
      <c r="G22" s="36">
        <f t="shared" si="1"/>
        <v>47546024.308304861</v>
      </c>
      <c r="H22" s="36">
        <f t="shared" si="5"/>
        <v>713687.04000002949</v>
      </c>
      <c r="I22" s="36">
        <f t="shared" si="3"/>
        <v>18201742.3224998</v>
      </c>
    </row>
    <row r="23" spans="1:19" x14ac:dyDescent="0.3">
      <c r="B23" s="8">
        <v>2023</v>
      </c>
      <c r="C23" s="17">
        <v>154988</v>
      </c>
      <c r="D23" s="18">
        <f t="shared" si="0"/>
        <v>142791.93959584221</v>
      </c>
      <c r="E23" s="18">
        <f t="shared" si="4"/>
        <v>150492.6</v>
      </c>
      <c r="F23" s="18">
        <f t="shared" si="2"/>
        <v>150883.09999999998</v>
      </c>
      <c r="G23" s="36">
        <f t="shared" si="1"/>
        <v>148743889.38186547</v>
      </c>
      <c r="H23" s="36">
        <f t="shared" si="5"/>
        <v>20208621.159999948</v>
      </c>
      <c r="I23" s="36">
        <f t="shared" si="3"/>
        <v>16850204.010000192</v>
      </c>
    </row>
    <row r="24" spans="1:19" x14ac:dyDescent="0.3">
      <c r="B24" s="34">
        <v>2024</v>
      </c>
      <c r="C24" s="35"/>
      <c r="D24" s="37">
        <f t="shared" si="0"/>
        <v>161522.34527091542</v>
      </c>
      <c r="E24" s="37">
        <f t="shared" si="4"/>
        <v>152522.6</v>
      </c>
      <c r="F24" s="37">
        <f t="shared" si="2"/>
        <v>153637.5</v>
      </c>
      <c r="G24" s="36"/>
      <c r="Q24" t="s">
        <v>47</v>
      </c>
      <c r="R24" t="s">
        <v>65</v>
      </c>
    </row>
    <row r="25" spans="1:19" ht="15.6" x14ac:dyDescent="0.3">
      <c r="A25">
        <v>1</v>
      </c>
      <c r="B25" s="11" t="s">
        <v>6</v>
      </c>
      <c r="C25" s="14"/>
      <c r="D25" s="14"/>
      <c r="E25" s="14"/>
      <c r="F25" s="14"/>
      <c r="G25" s="14"/>
      <c r="H25" s="14"/>
      <c r="I25" s="14"/>
      <c r="J25" s="15"/>
      <c r="K25" s="15"/>
      <c r="L25" s="15"/>
      <c r="M25" s="15"/>
      <c r="N25" s="16"/>
      <c r="O25" s="16"/>
      <c r="R25" t="s">
        <v>39</v>
      </c>
      <c r="S25">
        <v>0.1</v>
      </c>
    </row>
    <row r="26" spans="1:19" ht="15.6" x14ac:dyDescent="0.3">
      <c r="A26">
        <v>2</v>
      </c>
      <c r="B26" t="s">
        <v>7</v>
      </c>
      <c r="C26" s="1"/>
      <c r="D26" s="1"/>
      <c r="E26" s="1"/>
      <c r="F26" s="1"/>
      <c r="G26" s="1"/>
      <c r="H26" s="1"/>
      <c r="I26" s="1"/>
      <c r="J26" s="16"/>
      <c r="K26" s="16"/>
      <c r="L26" s="16"/>
      <c r="M26" s="16"/>
      <c r="N26" s="16"/>
      <c r="O26" s="16"/>
      <c r="R26" t="s">
        <v>40</v>
      </c>
      <c r="S26">
        <v>0.15</v>
      </c>
    </row>
    <row r="27" spans="1:19" ht="15.6" x14ac:dyDescent="0.3">
      <c r="A27">
        <v>3</v>
      </c>
      <c r="B27" s="1" t="s">
        <v>14</v>
      </c>
      <c r="C27" s="1"/>
      <c r="D27" s="1"/>
      <c r="E27" s="1"/>
      <c r="F27" s="1"/>
      <c r="G27" s="1"/>
      <c r="H27" s="1"/>
      <c r="I27" s="1"/>
      <c r="J27" s="16"/>
      <c r="K27" s="16"/>
      <c r="L27" s="16"/>
      <c r="M27" s="16"/>
      <c r="N27" s="16"/>
      <c r="O27" s="16"/>
      <c r="R27" t="s">
        <v>41</v>
      </c>
      <c r="S27">
        <v>0.19999999999999996</v>
      </c>
    </row>
    <row r="28" spans="1:19" ht="18" x14ac:dyDescent="0.4">
      <c r="A28">
        <v>4</v>
      </c>
      <c r="B28" s="1" t="s">
        <v>15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R28" t="s">
        <v>66</v>
      </c>
      <c r="S28">
        <v>0.55000000000000004</v>
      </c>
    </row>
    <row r="29" spans="1:19" ht="15.6" x14ac:dyDescent="0.3">
      <c r="A29">
        <v>5</v>
      </c>
      <c r="B29" s="1" t="s">
        <v>5</v>
      </c>
    </row>
    <row r="30" spans="1:19" ht="15.6" x14ac:dyDescent="0.3">
      <c r="A30">
        <v>6</v>
      </c>
      <c r="B30" s="7" t="s">
        <v>16</v>
      </c>
    </row>
    <row r="31" spans="1:19" ht="15.6" x14ac:dyDescent="0.3">
      <c r="A31">
        <v>7</v>
      </c>
      <c r="B31" s="7" t="s">
        <v>13</v>
      </c>
    </row>
    <row r="37" spans="2:17" ht="15.6" x14ac:dyDescent="0.3">
      <c r="B37" s="7" t="s">
        <v>56</v>
      </c>
      <c r="F37" t="s">
        <v>67</v>
      </c>
      <c r="G37" s="36">
        <f>AVERAGE(G7:G23)</f>
        <v>19023748.219102304</v>
      </c>
      <c r="H37" s="36">
        <f>AVERAGE(H10:H23)</f>
        <v>30881574.702857096</v>
      </c>
      <c r="I37" s="36">
        <f>AVERAGE(I9:I23)</f>
        <v>16700426.246833337</v>
      </c>
      <c r="P37" t="s">
        <v>72</v>
      </c>
      <c r="Q37" t="s">
        <v>74</v>
      </c>
    </row>
    <row r="38" spans="2:17" x14ac:dyDescent="0.3">
      <c r="E38" s="18"/>
      <c r="F38" t="s">
        <v>68</v>
      </c>
      <c r="G38">
        <f>SQRT(G37)</f>
        <v>4361.6222004091896</v>
      </c>
      <c r="H38" s="18">
        <f t="shared" ref="H38:I38" si="6">SQRT(H37)</f>
        <v>5557.1192809635731</v>
      </c>
      <c r="I38" s="18">
        <f t="shared" si="6"/>
        <v>4086.6155002438554</v>
      </c>
      <c r="Q38" t="s">
        <v>73</v>
      </c>
    </row>
    <row r="39" spans="2:17" x14ac:dyDescent="0.3">
      <c r="D39" s="19"/>
      <c r="E39" s="19"/>
      <c r="F39" t="s">
        <v>53</v>
      </c>
      <c r="G39" s="19">
        <f>G38/$P$2</f>
        <v>3.0837341357006172E-2</v>
      </c>
      <c r="H39" s="19">
        <f t="shared" ref="H39:I39" si="7">H38/$P$2</f>
        <v>3.9289690017763911E-2</v>
      </c>
      <c r="I39" s="19">
        <f t="shared" si="7"/>
        <v>2.8893001591020331E-2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7"/>
  <sheetViews>
    <sheetView workbookViewId="0">
      <selection activeCell="B3" sqref="B3"/>
    </sheetView>
  </sheetViews>
  <sheetFormatPr defaultRowHeight="14.4" x14ac:dyDescent="0.3"/>
  <sheetData>
    <row r="2" spans="2:2" x14ac:dyDescent="0.3">
      <c r="B2" s="18" t="s">
        <v>61</v>
      </c>
    </row>
    <row r="3" spans="2:2" x14ac:dyDescent="0.3">
      <c r="B3" s="18" t="s">
        <v>8</v>
      </c>
    </row>
    <row r="4" spans="2:2" x14ac:dyDescent="0.3">
      <c r="B4" s="18" t="s">
        <v>9</v>
      </c>
    </row>
    <row r="5" spans="2:2" x14ac:dyDescent="0.3">
      <c r="B5" s="18" t="s">
        <v>17</v>
      </c>
    </row>
    <row r="6" spans="2:2" x14ac:dyDescent="0.3">
      <c r="B6" s="18" t="s">
        <v>18</v>
      </c>
    </row>
    <row r="7" spans="2:2" x14ac:dyDescent="0.3">
      <c r="B7" s="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Zad1</vt:lpstr>
      <vt:lpstr>Zad 2</vt:lpstr>
      <vt:lpstr>Zad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Dorota</dc:creator>
  <cp:lastModifiedBy>prac608</cp:lastModifiedBy>
  <dcterms:created xsi:type="dcterms:W3CDTF">2024-03-18T18:22:49Z</dcterms:created>
  <dcterms:modified xsi:type="dcterms:W3CDTF">2026-03-17T10:06:34Z</dcterms:modified>
</cp:coreProperties>
</file>