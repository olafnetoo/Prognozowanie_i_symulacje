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rac608\Desktop\P_I_Sym_KW2\"/>
    </mc:Choice>
  </mc:AlternateContent>
  <xr:revisionPtr revIDLastSave="0" documentId="13_ncr:1_{BAEE13A3-295E-4B42-B7A9-DB6AC20F32EB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Z1" sheetId="5" r:id="rId1"/>
    <sheet name="Z2" sheetId="6" r:id="rId2"/>
    <sheet name="Z3" sheetId="1" r:id="rId3"/>
    <sheet name="Z4" sheetId="2" r:id="rId4"/>
    <sheet name="Z5" sheetId="3" r:id="rId5"/>
    <sheet name="Z6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7" i="1" l="1"/>
  <c r="L17" i="1"/>
  <c r="L16" i="1"/>
  <c r="L15" i="1"/>
  <c r="G12" i="1"/>
  <c r="G13" i="1"/>
  <c r="G14" i="1"/>
  <c r="G15" i="1"/>
  <c r="G16" i="1"/>
  <c r="G17" i="1"/>
  <c r="G18" i="1"/>
  <c r="G19" i="1"/>
  <c r="G20" i="1"/>
  <c r="G11" i="1"/>
  <c r="F12" i="1"/>
  <c r="F13" i="1"/>
  <c r="F14" i="1"/>
  <c r="F15" i="1"/>
  <c r="F16" i="1"/>
  <c r="F17" i="1"/>
  <c r="F18" i="1"/>
  <c r="F19" i="1"/>
  <c r="F20" i="1"/>
  <c r="F11" i="1"/>
  <c r="E12" i="1"/>
  <c r="E13" i="1"/>
  <c r="E14" i="1"/>
  <c r="E15" i="1"/>
  <c r="E16" i="1"/>
  <c r="E17" i="1"/>
  <c r="E18" i="1"/>
  <c r="E19" i="1"/>
  <c r="E20" i="1"/>
  <c r="E11" i="1"/>
  <c r="F11" i="6"/>
  <c r="E27" i="1"/>
  <c r="D27" i="1"/>
  <c r="D26" i="1"/>
  <c r="D25" i="1"/>
  <c r="D24" i="1"/>
  <c r="D23" i="1"/>
  <c r="F12" i="6"/>
  <c r="F13" i="6"/>
  <c r="F14" i="6"/>
  <c r="F15" i="6"/>
  <c r="F16" i="6"/>
  <c r="G16" i="6" s="1"/>
  <c r="H16" i="6" s="1"/>
  <c r="F17" i="6"/>
  <c r="F18" i="6"/>
  <c r="G18" i="6" s="1"/>
  <c r="H18" i="6" s="1"/>
  <c r="F19" i="6"/>
  <c r="G19" i="6" s="1"/>
  <c r="H19" i="6" s="1"/>
  <c r="F20" i="6"/>
  <c r="G20" i="6" s="1"/>
  <c r="H20" i="6" s="1"/>
  <c r="F21" i="6"/>
  <c r="G17" i="6"/>
  <c r="H17" i="6" s="1"/>
  <c r="G12" i="6"/>
  <c r="H12" i="6" s="1"/>
  <c r="G11" i="6"/>
  <c r="H11" i="6" s="1"/>
  <c r="G14" i="6"/>
  <c r="H14" i="6" s="1"/>
  <c r="G15" i="6"/>
  <c r="H15" i="6" s="1"/>
  <c r="G13" i="6"/>
  <c r="H13" i="6" s="1"/>
  <c r="E12" i="6"/>
  <c r="E13" i="6"/>
  <c r="E14" i="6"/>
  <c r="E15" i="6"/>
  <c r="E16" i="6"/>
  <c r="E17" i="6"/>
  <c r="E18" i="6"/>
  <c r="E19" i="6"/>
  <c r="E20" i="6"/>
  <c r="E11" i="6"/>
  <c r="D11" i="6"/>
  <c r="D12" i="6"/>
  <c r="D13" i="6"/>
  <c r="D14" i="6"/>
  <c r="D15" i="6"/>
  <c r="D16" i="6"/>
  <c r="D17" i="6"/>
  <c r="D18" i="6"/>
  <c r="D19" i="6"/>
  <c r="D20" i="6"/>
  <c r="D10" i="6"/>
  <c r="D27" i="6"/>
  <c r="C27" i="6"/>
  <c r="C26" i="6"/>
  <c r="C25" i="6"/>
  <c r="C24" i="6"/>
  <c r="C23" i="6"/>
  <c r="F21" i="5"/>
  <c r="P20" i="5"/>
  <c r="O20" i="5"/>
  <c r="O19" i="5"/>
  <c r="P18" i="5"/>
  <c r="O18" i="5"/>
  <c r="H23" i="5"/>
  <c r="H10" i="5"/>
  <c r="H11" i="5"/>
  <c r="H12" i="5"/>
  <c r="H13" i="5"/>
  <c r="H14" i="5"/>
  <c r="H15" i="5"/>
  <c r="H16" i="5"/>
  <c r="H17" i="5"/>
  <c r="H18" i="5"/>
  <c r="H19" i="5"/>
  <c r="H20" i="5"/>
  <c r="G11" i="5"/>
  <c r="G12" i="5"/>
  <c r="G13" i="5"/>
  <c r="G14" i="5"/>
  <c r="G15" i="5"/>
  <c r="G16" i="5"/>
  <c r="G17" i="5"/>
  <c r="G18" i="5"/>
  <c r="G19" i="5"/>
  <c r="G20" i="5"/>
  <c r="G10" i="5"/>
  <c r="F11" i="5"/>
  <c r="F12" i="5"/>
  <c r="F13" i="5"/>
  <c r="F14" i="5"/>
  <c r="F15" i="5"/>
  <c r="F16" i="5"/>
  <c r="F17" i="5"/>
  <c r="F18" i="5"/>
  <c r="F19" i="5"/>
  <c r="F20" i="5"/>
  <c r="F10" i="5"/>
  <c r="E27" i="5"/>
  <c r="E26" i="5"/>
  <c r="D26" i="5"/>
  <c r="A25" i="5"/>
  <c r="C25" i="5"/>
  <c r="E23" i="5"/>
  <c r="D23" i="5"/>
  <c r="E10" i="5"/>
  <c r="E11" i="5"/>
  <c r="E12" i="5"/>
  <c r="E13" i="5"/>
  <c r="E14" i="5"/>
  <c r="E15" i="5"/>
  <c r="E16" i="5"/>
  <c r="E17" i="5"/>
  <c r="E18" i="5"/>
  <c r="E19" i="5"/>
  <c r="E20" i="5"/>
  <c r="E9" i="5"/>
  <c r="D10" i="5"/>
  <c r="D11" i="5"/>
  <c r="D12" i="5"/>
  <c r="D13" i="5"/>
  <c r="D14" i="5"/>
  <c r="D15" i="5"/>
  <c r="D16" i="5"/>
  <c r="D17" i="5"/>
  <c r="D18" i="5"/>
  <c r="D19" i="5"/>
  <c r="D20" i="5"/>
  <c r="D9" i="5"/>
  <c r="C24" i="5"/>
  <c r="C23" i="5"/>
  <c r="M12" i="6" l="1"/>
  <c r="M13" i="6" s="1"/>
  <c r="M14" i="6" s="1"/>
  <c r="N14" i="6" s="1"/>
  <c r="H23" i="6"/>
</calcChain>
</file>

<file path=xl/sharedStrings.xml><?xml version="1.0" encoding="utf-8"?>
<sst xmlns="http://schemas.openxmlformats.org/spreadsheetml/2006/main" count="132" uniqueCount="62">
  <si>
    <t>Oceń zmienność w szeregu na podstawie współczynnika zmienności</t>
  </si>
  <si>
    <t>Dobierz schemat prognostyczny</t>
  </si>
  <si>
    <t>Oceń dopuszczalność prognoz wybranym schematem na podstawie błędów prognoz ex post</t>
  </si>
  <si>
    <t>Wyznacz prognozę na okres kolejny</t>
  </si>
  <si>
    <t>t</t>
  </si>
  <si>
    <r>
      <t>Y</t>
    </r>
    <r>
      <rPr>
        <b/>
        <vertAlign val="subscript"/>
        <sz val="11"/>
        <color theme="1"/>
        <rFont val="Calibri"/>
        <family val="2"/>
        <charset val="238"/>
        <scheme val="minor"/>
      </rPr>
      <t>t</t>
    </r>
  </si>
  <si>
    <t>rok</t>
  </si>
  <si>
    <t>i</t>
  </si>
  <si>
    <t>Yt</t>
  </si>
  <si>
    <t>Wyznacz prognozę na kolejny rok</t>
  </si>
  <si>
    <t>Wykonaj wykres szeregu i prognoz</t>
  </si>
  <si>
    <t>Rok</t>
  </si>
  <si>
    <t>Miesiąc</t>
  </si>
  <si>
    <t>Czas</t>
  </si>
  <si>
    <t>Obiekty</t>
  </si>
  <si>
    <t xml:space="preserve">Na podstawie danych GUS o wykorzystanych turystycznych obiektach noclegowych w Polsce w poszczególnych miesiącach lat 2020-2023 </t>
  </si>
  <si>
    <t>Półrocze</t>
  </si>
  <si>
    <t>Sprzedaż</t>
  </si>
  <si>
    <t>Wyznacz prognozę na kolejne miesiące</t>
  </si>
  <si>
    <t>Wyznacz prognozę na kolejne półrocza</t>
  </si>
  <si>
    <t>suma</t>
  </si>
  <si>
    <t>średnia</t>
  </si>
  <si>
    <t>wariancja</t>
  </si>
  <si>
    <t>odchylenie std</t>
  </si>
  <si>
    <t>współczynnik zmiennności</t>
  </si>
  <si>
    <t>Yt-śr</t>
  </si>
  <si>
    <t>(Yt-śr)^2</t>
  </si>
  <si>
    <t>suma odchyleń w statystce zawsze równa się 0</t>
  </si>
  <si>
    <t>&lt;10% zmienność niewielka</t>
  </si>
  <si>
    <t>1.</t>
  </si>
  <si>
    <t>2.</t>
  </si>
  <si>
    <t>Y*t</t>
  </si>
  <si>
    <t>`-</t>
  </si>
  <si>
    <t>3.</t>
  </si>
  <si>
    <t>yt-y*t</t>
  </si>
  <si>
    <t>-</t>
  </si>
  <si>
    <t>(yt-y*t)^2</t>
  </si>
  <si>
    <t>bł.kwadratowe</t>
  </si>
  <si>
    <t>S^2p=</t>
  </si>
  <si>
    <t>średni błąd kwadratowy prognozy ex post</t>
  </si>
  <si>
    <t>sp=</t>
  </si>
  <si>
    <t>średni bezwzględny błąd prognozy ex post</t>
  </si>
  <si>
    <t>średni względnych błąd prognoz ex post</t>
  </si>
  <si>
    <t>vp=</t>
  </si>
  <si>
    <t>&lt;10% prognozy dopuszczalne</t>
  </si>
  <si>
    <t>4.</t>
  </si>
  <si>
    <t>5.</t>
  </si>
  <si>
    <t>prognoza</t>
  </si>
  <si>
    <t>odchyl std</t>
  </si>
  <si>
    <t>współ zm</t>
  </si>
  <si>
    <t>yt-1</t>
  </si>
  <si>
    <t>yt-2</t>
  </si>
  <si>
    <t>Yt-Y*t</t>
  </si>
  <si>
    <t>(Yt-Y*t)^2</t>
  </si>
  <si>
    <t>sp^2=</t>
  </si>
  <si>
    <t>&lt;10%</t>
  </si>
  <si>
    <t>wzór 4 przyjąc c jako 2 i potem solverem znaleść najmniejsze</t>
  </si>
  <si>
    <t>wspł zmie</t>
  </si>
  <si>
    <t>zmienność duża</t>
  </si>
  <si>
    <t>-&gt;^2</t>
  </si>
  <si>
    <t>sp^2</t>
  </si>
  <si>
    <t>c=średnia z  yt-yt-2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</si>
</sst>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6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vertAlign val="subscript"/>
      <sz val="11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12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4" fontId="3" fillId="0" borderId="1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4" fontId="5" fillId="0" borderId="1" xfId="0" applyNumberFormat="1" applyFont="1" applyFill="1" applyBorder="1" applyAlignment="1">
      <alignment horizontal="center"/>
    </xf>
    <xf numFmtId="3" fontId="0" fillId="0" borderId="0" xfId="0" applyNumberFormat="1"/>
    <xf numFmtId="0" fontId="1" fillId="0" borderId="0" xfId="0" applyFont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1" xfId="0" applyNumberFormat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0" xfId="0" applyFill="1"/>
    <xf numFmtId="0" fontId="0" fillId="3" borderId="0" xfId="0" applyFill="1"/>
    <xf numFmtId="165" fontId="0" fillId="0" borderId="0" xfId="0" applyNumberFormat="1"/>
    <xf numFmtId="165" fontId="0" fillId="4" borderId="0" xfId="0" applyNumberFormat="1" applyFill="1"/>
    <xf numFmtId="2" fontId="0" fillId="0" borderId="0" xfId="0" applyNumberFormat="1"/>
    <xf numFmtId="10" fontId="0" fillId="0" borderId="0" xfId="0" applyNumberFormat="1"/>
    <xf numFmtId="0" fontId="0" fillId="0" borderId="0" xfId="0" quotePrefix="1"/>
    <xf numFmtId="0" fontId="0" fillId="5" borderId="0" xfId="0" applyFill="1"/>
    <xf numFmtId="165" fontId="0" fillId="5" borderId="0" xfId="0" applyNumberFormat="1" applyFill="1"/>
    <xf numFmtId="0" fontId="0" fillId="5" borderId="1" xfId="0" applyFill="1" applyBorder="1" applyAlignment="1">
      <alignment horizontal="center"/>
    </xf>
    <xf numFmtId="0" fontId="0" fillId="0" borderId="1" xfId="0" applyBorder="1"/>
    <xf numFmtId="0" fontId="0" fillId="0" borderId="1" xfId="0" quotePrefix="1" applyBorder="1"/>
    <xf numFmtId="0" fontId="0" fillId="5" borderId="1" xfId="0" applyFill="1" applyBorder="1"/>
    <xf numFmtId="10" fontId="0" fillId="6" borderId="0" xfId="0" applyNumberFormat="1" applyFill="1"/>
    <xf numFmtId="0" fontId="0" fillId="6" borderId="0" xfId="0" applyFill="1"/>
    <xf numFmtId="0" fontId="0" fillId="6" borderId="4" xfId="0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1" fillId="0" borderId="5" xfId="0" quotePrefix="1" applyFont="1" applyFill="1" applyBorder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schemat</a:t>
            </a:r>
            <a:r>
              <a:rPr lang="pl-PL" baseline="0"/>
              <a:t> naiwny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'Z1'!$C$8</c:f>
              <c:strCache>
                <c:ptCount val="1"/>
                <c:pt idx="0">
                  <c:v>Yt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'Z1'!$B$9:$B$20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'Z1'!$C$9:$C$20</c:f>
              <c:numCache>
                <c:formatCode>General</c:formatCode>
                <c:ptCount val="12"/>
                <c:pt idx="0">
                  <c:v>52</c:v>
                </c:pt>
                <c:pt idx="1">
                  <c:v>50</c:v>
                </c:pt>
                <c:pt idx="2">
                  <c:v>51</c:v>
                </c:pt>
                <c:pt idx="3">
                  <c:v>51</c:v>
                </c:pt>
                <c:pt idx="4">
                  <c:v>50</c:v>
                </c:pt>
                <c:pt idx="5">
                  <c:v>52</c:v>
                </c:pt>
                <c:pt idx="6">
                  <c:v>50</c:v>
                </c:pt>
                <c:pt idx="7">
                  <c:v>51</c:v>
                </c:pt>
                <c:pt idx="8">
                  <c:v>52</c:v>
                </c:pt>
                <c:pt idx="9">
                  <c:v>52</c:v>
                </c:pt>
                <c:pt idx="10">
                  <c:v>50</c:v>
                </c:pt>
                <c:pt idx="11">
                  <c:v>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0D6-4AA1-A0C9-6773E5A199F5}"/>
            </c:ext>
          </c:extLst>
        </c:ser>
        <c:ser>
          <c:idx val="1"/>
          <c:order val="1"/>
          <c:tx>
            <c:strRef>
              <c:f>'Z1'!$F$8</c:f>
              <c:strCache>
                <c:ptCount val="1"/>
                <c:pt idx="0">
                  <c:v>Y*t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'Z1'!$B$10:$B$21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</c:numCache>
            </c:numRef>
          </c:xVal>
          <c:yVal>
            <c:numRef>
              <c:f>'Z1'!$F$10:$F$21</c:f>
              <c:numCache>
                <c:formatCode>General</c:formatCode>
                <c:ptCount val="12"/>
                <c:pt idx="0">
                  <c:v>52</c:v>
                </c:pt>
                <c:pt idx="1">
                  <c:v>50</c:v>
                </c:pt>
                <c:pt idx="2">
                  <c:v>51</c:v>
                </c:pt>
                <c:pt idx="3">
                  <c:v>51</c:v>
                </c:pt>
                <c:pt idx="4">
                  <c:v>50</c:v>
                </c:pt>
                <c:pt idx="5">
                  <c:v>52</c:v>
                </c:pt>
                <c:pt idx="6">
                  <c:v>50</c:v>
                </c:pt>
                <c:pt idx="7">
                  <c:v>51</c:v>
                </c:pt>
                <c:pt idx="8">
                  <c:v>52</c:v>
                </c:pt>
                <c:pt idx="9">
                  <c:v>52</c:v>
                </c:pt>
                <c:pt idx="10">
                  <c:v>50</c:v>
                </c:pt>
                <c:pt idx="11">
                  <c:v>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0D6-4AA1-A0C9-6773E5A199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498559"/>
        <c:axId val="1016498975"/>
      </c:scatterChart>
      <c:valAx>
        <c:axId val="1016498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t-czas</a:t>
                </a:r>
              </a:p>
            </c:rich>
          </c:tx>
          <c:layout>
            <c:manualLayout>
              <c:xMode val="edge"/>
              <c:yMode val="edge"/>
              <c:x val="0.80583610746004641"/>
              <c:y val="0.901485391249170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16498975"/>
        <c:crosses val="autoZero"/>
        <c:crossBetween val="midCat"/>
      </c:valAx>
      <c:valAx>
        <c:axId val="1016498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yt-zjawisko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164985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'Z2'!$C$8</c:f>
              <c:strCache>
                <c:ptCount val="1"/>
                <c:pt idx="0">
                  <c:v>Yt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'Z2'!$B$9:$B$20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'Z2'!$C$9:$C$20</c:f>
              <c:numCache>
                <c:formatCode>General</c:formatCode>
                <c:ptCount val="12"/>
                <c:pt idx="0">
                  <c:v>52</c:v>
                </c:pt>
                <c:pt idx="1">
                  <c:v>50</c:v>
                </c:pt>
                <c:pt idx="2">
                  <c:v>53</c:v>
                </c:pt>
                <c:pt idx="3">
                  <c:v>55</c:v>
                </c:pt>
                <c:pt idx="4">
                  <c:v>54</c:v>
                </c:pt>
                <c:pt idx="5">
                  <c:v>57</c:v>
                </c:pt>
                <c:pt idx="6">
                  <c:v>58</c:v>
                </c:pt>
                <c:pt idx="7">
                  <c:v>62</c:v>
                </c:pt>
                <c:pt idx="8">
                  <c:v>61</c:v>
                </c:pt>
                <c:pt idx="9">
                  <c:v>64</c:v>
                </c:pt>
                <c:pt idx="10">
                  <c:v>66</c:v>
                </c:pt>
                <c:pt idx="11">
                  <c:v>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D1A-4B23-80A0-CFBF011B37A1}"/>
            </c:ext>
          </c:extLst>
        </c:ser>
        <c:ser>
          <c:idx val="1"/>
          <c:order val="1"/>
          <c:tx>
            <c:strRef>
              <c:f>'Z2'!$F$8</c:f>
              <c:strCache>
                <c:ptCount val="1"/>
                <c:pt idx="0">
                  <c:v>Y*t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'Z2'!$B$11:$B$21</c:f>
              <c:numCache>
                <c:formatCode>General</c:formatCode>
                <c:ptCount val="11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</c:numCache>
            </c:numRef>
          </c:xVal>
          <c:yVal>
            <c:numRef>
              <c:f>'Z2'!$F$11:$F$21</c:f>
              <c:numCache>
                <c:formatCode>General</c:formatCode>
                <c:ptCount val="11"/>
                <c:pt idx="0">
                  <c:v>48</c:v>
                </c:pt>
                <c:pt idx="1">
                  <c:v>56</c:v>
                </c:pt>
                <c:pt idx="2">
                  <c:v>57</c:v>
                </c:pt>
                <c:pt idx="3">
                  <c:v>53</c:v>
                </c:pt>
                <c:pt idx="4">
                  <c:v>60</c:v>
                </c:pt>
                <c:pt idx="5">
                  <c:v>59</c:v>
                </c:pt>
                <c:pt idx="6">
                  <c:v>66</c:v>
                </c:pt>
                <c:pt idx="7">
                  <c:v>60</c:v>
                </c:pt>
                <c:pt idx="8">
                  <c:v>67</c:v>
                </c:pt>
                <c:pt idx="9">
                  <c:v>68</c:v>
                </c:pt>
                <c:pt idx="10">
                  <c:v>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D1A-4B23-80A0-CFBF011B37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3359311"/>
        <c:axId val="653361391"/>
      </c:scatterChart>
      <c:valAx>
        <c:axId val="653359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53361391"/>
        <c:crosses val="autoZero"/>
        <c:crossBetween val="midCat"/>
      </c:valAx>
      <c:valAx>
        <c:axId val="653361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 zjawisko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533593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205740</xdr:colOff>
      <xdr:row>4</xdr:row>
      <xdr:rowOff>129541</xdr:rowOff>
    </xdr:from>
    <xdr:to>
      <xdr:col>21</xdr:col>
      <xdr:colOff>572677</xdr:colOff>
      <xdr:row>10</xdr:row>
      <xdr:rowOff>15241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3BE79567-16F2-4905-A274-E66AD380D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0540" y="861061"/>
          <a:ext cx="5243737" cy="998220"/>
        </a:xfrm>
        <a:prstGeom prst="rect">
          <a:avLst/>
        </a:prstGeom>
      </xdr:spPr>
    </xdr:pic>
    <xdr:clientData/>
  </xdr:twoCellAnchor>
  <xdr:twoCellAnchor editAs="oneCell">
    <xdr:from>
      <xdr:col>13</xdr:col>
      <xdr:colOff>182880</xdr:colOff>
      <xdr:row>10</xdr:row>
      <xdr:rowOff>129540</xdr:rowOff>
    </xdr:from>
    <xdr:to>
      <xdr:col>18</xdr:col>
      <xdr:colOff>482389</xdr:colOff>
      <xdr:row>15</xdr:row>
      <xdr:rowOff>137159</xdr:rowOff>
    </xdr:to>
    <xdr:pic>
      <xdr:nvPicPr>
        <xdr:cNvPr id="4" name="Obraz 3">
          <a:extLst>
            <a:ext uri="{FF2B5EF4-FFF2-40B4-BE49-F238E27FC236}">
              <a16:creationId xmlns:a16="http://schemas.microsoft.com/office/drawing/2014/main" id="{2FEDD634-4FDA-4ECE-B497-161F432AF9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07680" y="1973580"/>
          <a:ext cx="3347509" cy="922019"/>
        </a:xfrm>
        <a:prstGeom prst="rect">
          <a:avLst/>
        </a:prstGeom>
      </xdr:spPr>
    </xdr:pic>
    <xdr:clientData/>
  </xdr:twoCellAnchor>
  <xdr:twoCellAnchor editAs="oneCell">
    <xdr:from>
      <xdr:col>18</xdr:col>
      <xdr:colOff>457200</xdr:colOff>
      <xdr:row>9</xdr:row>
      <xdr:rowOff>162652</xdr:rowOff>
    </xdr:from>
    <xdr:to>
      <xdr:col>21</xdr:col>
      <xdr:colOff>365760</xdr:colOff>
      <xdr:row>15</xdr:row>
      <xdr:rowOff>108847</xdr:rowOff>
    </xdr:to>
    <xdr:pic>
      <xdr:nvPicPr>
        <xdr:cNvPr id="5" name="Obraz 4">
          <a:extLst>
            <a:ext uri="{FF2B5EF4-FFF2-40B4-BE49-F238E27FC236}">
              <a16:creationId xmlns:a16="http://schemas.microsoft.com/office/drawing/2014/main" id="{6813A657-887E-4F8B-AE57-91CFB9AC9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430000" y="1823812"/>
          <a:ext cx="1737360" cy="1043475"/>
        </a:xfrm>
        <a:prstGeom prst="rect">
          <a:avLst/>
        </a:prstGeom>
      </xdr:spPr>
    </xdr:pic>
    <xdr:clientData/>
  </xdr:twoCellAnchor>
  <xdr:twoCellAnchor>
    <xdr:from>
      <xdr:col>12</xdr:col>
      <xdr:colOff>0</xdr:colOff>
      <xdr:row>21</xdr:row>
      <xdr:rowOff>163830</xdr:rowOff>
    </xdr:from>
    <xdr:to>
      <xdr:col>20</xdr:col>
      <xdr:colOff>243840</xdr:colOff>
      <xdr:row>40</xdr:row>
      <xdr:rowOff>121920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99130DCE-1228-45C6-AF93-4FEBE8A05E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38100</xdr:colOff>
      <xdr:row>1</xdr:row>
      <xdr:rowOff>91440</xdr:rowOff>
    </xdr:from>
    <xdr:to>
      <xdr:col>24</xdr:col>
      <xdr:colOff>124943</xdr:colOff>
      <xdr:row>10</xdr:row>
      <xdr:rowOff>59282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E83BBF0F-6D50-4038-9E02-23A8BEE328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43700" y="274320"/>
          <a:ext cx="8011643" cy="1629002"/>
        </a:xfrm>
        <a:prstGeom prst="rect">
          <a:avLst/>
        </a:prstGeom>
      </xdr:spPr>
    </xdr:pic>
    <xdr:clientData/>
  </xdr:twoCellAnchor>
  <xdr:twoCellAnchor>
    <xdr:from>
      <xdr:col>10</xdr:col>
      <xdr:colOff>525780</xdr:colOff>
      <xdr:row>14</xdr:row>
      <xdr:rowOff>133350</xdr:rowOff>
    </xdr:from>
    <xdr:to>
      <xdr:col>18</xdr:col>
      <xdr:colOff>220980</xdr:colOff>
      <xdr:row>29</xdr:row>
      <xdr:rowOff>133350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19691D82-7DF3-4DDE-AA56-E79C4B7E1A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594360</xdr:colOff>
      <xdr:row>3</xdr:row>
      <xdr:rowOff>7620</xdr:rowOff>
    </xdr:from>
    <xdr:to>
      <xdr:col>22</xdr:col>
      <xdr:colOff>147729</xdr:colOff>
      <xdr:row>12</xdr:row>
      <xdr:rowOff>156463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61B42A1E-16AC-462E-A23D-3EEB5C95D0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80760" y="556260"/>
          <a:ext cx="7478169" cy="18100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27"/>
  <sheetViews>
    <sheetView workbookViewId="0">
      <selection activeCell="O18" sqref="O18"/>
    </sheetView>
  </sheetViews>
  <sheetFormatPr defaultRowHeight="14.4" x14ac:dyDescent="0.3"/>
  <sheetData>
    <row r="2" spans="1:16" x14ac:dyDescent="0.3">
      <c r="A2" t="s">
        <v>29</v>
      </c>
      <c r="B2" t="s">
        <v>0</v>
      </c>
      <c r="K2" s="18"/>
      <c r="L2" s="18" t="s">
        <v>27</v>
      </c>
      <c r="M2" s="18"/>
      <c r="N2" s="18"/>
      <c r="O2" s="18"/>
      <c r="P2" s="18"/>
    </row>
    <row r="3" spans="1:16" x14ac:dyDescent="0.3">
      <c r="A3" t="s">
        <v>30</v>
      </c>
      <c r="B3" t="s">
        <v>1</v>
      </c>
    </row>
    <row r="4" spans="1:16" x14ac:dyDescent="0.3">
      <c r="A4" t="s">
        <v>33</v>
      </c>
      <c r="B4" t="s">
        <v>2</v>
      </c>
    </row>
    <row r="5" spans="1:16" x14ac:dyDescent="0.3">
      <c r="A5" t="s">
        <v>45</v>
      </c>
      <c r="B5" t="s">
        <v>3</v>
      </c>
    </row>
    <row r="6" spans="1:16" x14ac:dyDescent="0.3">
      <c r="A6" t="s">
        <v>46</v>
      </c>
      <c r="B6" t="s">
        <v>10</v>
      </c>
      <c r="F6" t="s">
        <v>47</v>
      </c>
    </row>
    <row r="7" spans="1:16" x14ac:dyDescent="0.3">
      <c r="F7" s="25">
        <v>2</v>
      </c>
      <c r="G7" s="25">
        <v>3</v>
      </c>
      <c r="H7" t="s">
        <v>37</v>
      </c>
    </row>
    <row r="8" spans="1:16" ht="15.6" x14ac:dyDescent="0.35">
      <c r="B8" s="1" t="s">
        <v>4</v>
      </c>
      <c r="C8" s="1" t="s">
        <v>5</v>
      </c>
      <c r="D8" s="28" t="s">
        <v>25</v>
      </c>
      <c r="E8" s="28" t="s">
        <v>26</v>
      </c>
      <c r="F8" s="28" t="s">
        <v>31</v>
      </c>
      <c r="G8" s="28" t="s">
        <v>34</v>
      </c>
      <c r="H8" s="28" t="s">
        <v>36</v>
      </c>
      <c r="M8" s="25">
        <v>2</v>
      </c>
    </row>
    <row r="9" spans="1:16" x14ac:dyDescent="0.3">
      <c r="B9" s="12">
        <v>1</v>
      </c>
      <c r="C9" s="12">
        <v>52</v>
      </c>
      <c r="D9" s="28">
        <f>C9-$C$24</f>
        <v>1</v>
      </c>
      <c r="E9" s="28">
        <f>D9^2</f>
        <v>1</v>
      </c>
      <c r="F9" s="28" t="s">
        <v>32</v>
      </c>
      <c r="G9" s="29" t="s">
        <v>35</v>
      </c>
      <c r="H9" s="29" t="s">
        <v>35</v>
      </c>
    </row>
    <row r="10" spans="1:16" x14ac:dyDescent="0.3">
      <c r="B10" s="12">
        <v>2</v>
      </c>
      <c r="C10" s="12">
        <v>50</v>
      </c>
      <c r="D10" s="28">
        <f t="shared" ref="D10:D20" si="0">C10-$C$24</f>
        <v>-1</v>
      </c>
      <c r="E10" s="28">
        <f t="shared" ref="E10:E20" si="1">D10^2</f>
        <v>1</v>
      </c>
      <c r="F10" s="28">
        <f>C9</f>
        <v>52</v>
      </c>
      <c r="G10" s="28">
        <f>C10-F10</f>
        <v>-2</v>
      </c>
      <c r="H10" s="28">
        <f t="shared" ref="H10:H20" si="2">G10^2</f>
        <v>4</v>
      </c>
    </row>
    <row r="11" spans="1:16" x14ac:dyDescent="0.3">
      <c r="B11" s="12">
        <v>3</v>
      </c>
      <c r="C11" s="12">
        <v>51</v>
      </c>
      <c r="D11" s="28">
        <f t="shared" si="0"/>
        <v>0</v>
      </c>
      <c r="E11" s="28">
        <f t="shared" si="1"/>
        <v>0</v>
      </c>
      <c r="F11" s="28">
        <f t="shared" ref="F11:F21" si="3">C10</f>
        <v>50</v>
      </c>
      <c r="G11" s="28">
        <f t="shared" ref="G11:G20" si="4">C11-F11</f>
        <v>1</v>
      </c>
      <c r="H11" s="28">
        <f t="shared" si="2"/>
        <v>1</v>
      </c>
    </row>
    <row r="12" spans="1:16" x14ac:dyDescent="0.3">
      <c r="B12" s="12">
        <v>4</v>
      </c>
      <c r="C12" s="12">
        <v>51</v>
      </c>
      <c r="D12" s="28">
        <f t="shared" si="0"/>
        <v>0</v>
      </c>
      <c r="E12" s="28">
        <f t="shared" si="1"/>
        <v>0</v>
      </c>
      <c r="F12" s="28">
        <f t="shared" si="3"/>
        <v>51</v>
      </c>
      <c r="G12" s="28">
        <f t="shared" si="4"/>
        <v>0</v>
      </c>
      <c r="H12" s="28">
        <f t="shared" si="2"/>
        <v>0</v>
      </c>
      <c r="M12" s="25">
        <v>3</v>
      </c>
    </row>
    <row r="13" spans="1:16" x14ac:dyDescent="0.3">
      <c r="B13" s="12">
        <v>5</v>
      </c>
      <c r="C13" s="12">
        <v>50</v>
      </c>
      <c r="D13" s="28">
        <f t="shared" si="0"/>
        <v>-1</v>
      </c>
      <c r="E13" s="28">
        <f t="shared" si="1"/>
        <v>1</v>
      </c>
      <c r="F13" s="28">
        <f t="shared" si="3"/>
        <v>51</v>
      </c>
      <c r="G13" s="28">
        <f t="shared" si="4"/>
        <v>-1</v>
      </c>
      <c r="H13" s="28">
        <f t="shared" si="2"/>
        <v>1</v>
      </c>
    </row>
    <row r="14" spans="1:16" x14ac:dyDescent="0.3">
      <c r="B14" s="12">
        <v>6</v>
      </c>
      <c r="C14" s="12">
        <v>52</v>
      </c>
      <c r="D14" s="28">
        <f t="shared" si="0"/>
        <v>1</v>
      </c>
      <c r="E14" s="28">
        <f t="shared" si="1"/>
        <v>1</v>
      </c>
      <c r="F14" s="28">
        <f t="shared" si="3"/>
        <v>50</v>
      </c>
      <c r="G14" s="28">
        <f t="shared" si="4"/>
        <v>2</v>
      </c>
      <c r="H14" s="28">
        <f t="shared" si="2"/>
        <v>4</v>
      </c>
    </row>
    <row r="15" spans="1:16" x14ac:dyDescent="0.3">
      <c r="B15" s="12">
        <v>7</v>
      </c>
      <c r="C15" s="12">
        <v>50</v>
      </c>
      <c r="D15" s="28">
        <f t="shared" si="0"/>
        <v>-1</v>
      </c>
      <c r="E15" s="28">
        <f t="shared" si="1"/>
        <v>1</v>
      </c>
      <c r="F15" s="28">
        <f t="shared" si="3"/>
        <v>52</v>
      </c>
      <c r="G15" s="28">
        <f t="shared" si="4"/>
        <v>-2</v>
      </c>
      <c r="H15" s="28">
        <f t="shared" si="2"/>
        <v>4</v>
      </c>
    </row>
    <row r="16" spans="1:16" x14ac:dyDescent="0.3">
      <c r="B16" s="12">
        <v>8</v>
      </c>
      <c r="C16" s="12">
        <v>51</v>
      </c>
      <c r="D16" s="28">
        <f t="shared" si="0"/>
        <v>0</v>
      </c>
      <c r="E16" s="28">
        <f t="shared" si="1"/>
        <v>0</v>
      </c>
      <c r="F16" s="28">
        <f t="shared" si="3"/>
        <v>50</v>
      </c>
      <c r="G16" s="28">
        <f t="shared" si="4"/>
        <v>1</v>
      </c>
      <c r="H16" s="28">
        <f t="shared" si="2"/>
        <v>1</v>
      </c>
      <c r="K16" s="28"/>
    </row>
    <row r="17" spans="1:17" x14ac:dyDescent="0.3">
      <c r="B17" s="12">
        <v>9</v>
      </c>
      <c r="C17" s="12">
        <v>52</v>
      </c>
      <c r="D17" s="28">
        <f t="shared" si="0"/>
        <v>1</v>
      </c>
      <c r="E17" s="28">
        <f t="shared" si="1"/>
        <v>1</v>
      </c>
      <c r="F17" s="28">
        <f t="shared" si="3"/>
        <v>51</v>
      </c>
      <c r="G17" s="28">
        <f t="shared" si="4"/>
        <v>1</v>
      </c>
      <c r="H17" s="28">
        <f t="shared" si="2"/>
        <v>1</v>
      </c>
      <c r="Q17" t="s">
        <v>39</v>
      </c>
    </row>
    <row r="18" spans="1:17" x14ac:dyDescent="0.3">
      <c r="B18" s="12">
        <v>10</v>
      </c>
      <c r="C18" s="12">
        <v>52</v>
      </c>
      <c r="D18" s="28">
        <f t="shared" si="0"/>
        <v>1</v>
      </c>
      <c r="E18" s="28">
        <f t="shared" si="1"/>
        <v>1</v>
      </c>
      <c r="F18" s="28">
        <f t="shared" si="3"/>
        <v>52</v>
      </c>
      <c r="G18" s="28">
        <f t="shared" si="4"/>
        <v>0</v>
      </c>
      <c r="H18" s="28">
        <f t="shared" si="2"/>
        <v>0</v>
      </c>
      <c r="N18" t="s">
        <v>38</v>
      </c>
      <c r="O18" s="20">
        <f>H23/11</f>
        <v>1.9090909090909092</v>
      </c>
      <c r="P18" s="26">
        <f>AVERAGE(H10:H20)</f>
        <v>1.9090909090909092</v>
      </c>
    </row>
    <row r="19" spans="1:17" x14ac:dyDescent="0.3">
      <c r="B19" s="12">
        <v>11</v>
      </c>
      <c r="C19" s="12">
        <v>50</v>
      </c>
      <c r="D19" s="28">
        <f t="shared" si="0"/>
        <v>-1</v>
      </c>
      <c r="E19" s="28">
        <f t="shared" si="1"/>
        <v>1</v>
      </c>
      <c r="F19" s="28">
        <f t="shared" si="3"/>
        <v>52</v>
      </c>
      <c r="G19" s="28">
        <f t="shared" si="4"/>
        <v>-2</v>
      </c>
      <c r="H19" s="28">
        <f t="shared" si="2"/>
        <v>4</v>
      </c>
      <c r="N19" t="s">
        <v>40</v>
      </c>
      <c r="O19" s="20">
        <f>SQRT(P18)</f>
        <v>1.3816985594155149</v>
      </c>
      <c r="Q19" t="s">
        <v>41</v>
      </c>
    </row>
    <row r="20" spans="1:17" x14ac:dyDescent="0.3">
      <c r="B20" s="12">
        <v>12</v>
      </c>
      <c r="C20" s="12">
        <v>51</v>
      </c>
      <c r="D20" s="28">
        <f t="shared" si="0"/>
        <v>0</v>
      </c>
      <c r="E20" s="28">
        <f t="shared" si="1"/>
        <v>0</v>
      </c>
      <c r="F20" s="28">
        <f t="shared" si="3"/>
        <v>50</v>
      </c>
      <c r="G20" s="28">
        <f t="shared" si="4"/>
        <v>1</v>
      </c>
      <c r="H20" s="28">
        <f t="shared" si="2"/>
        <v>1</v>
      </c>
      <c r="N20" t="s">
        <v>43</v>
      </c>
      <c r="O20">
        <f>O19/C24</f>
        <v>2.7092128615990488E-2</v>
      </c>
      <c r="P20" s="23">
        <f>O20</f>
        <v>2.7092128615990488E-2</v>
      </c>
      <c r="Q20" t="s">
        <v>42</v>
      </c>
    </row>
    <row r="21" spans="1:17" x14ac:dyDescent="0.3">
      <c r="A21" s="25" t="s">
        <v>45</v>
      </c>
      <c r="B21" s="27">
        <v>13</v>
      </c>
      <c r="F21" s="30">
        <f t="shared" si="3"/>
        <v>51</v>
      </c>
      <c r="Q21" t="s">
        <v>44</v>
      </c>
    </row>
    <row r="22" spans="1:17" x14ac:dyDescent="0.3">
      <c r="A22" t="s">
        <v>29</v>
      </c>
    </row>
    <row r="23" spans="1:17" x14ac:dyDescent="0.3">
      <c r="B23" t="s">
        <v>20</v>
      </c>
      <c r="C23">
        <f>SUM(C9:C20)</f>
        <v>612</v>
      </c>
      <c r="D23" s="18">
        <f>SUM(D9:D20)</f>
        <v>0</v>
      </c>
      <c r="E23" s="19">
        <f>SUM(E9:E20)</f>
        <v>8</v>
      </c>
      <c r="H23">
        <f>SUM(H10:H20)</f>
        <v>21</v>
      </c>
      <c r="L23" s="25">
        <v>5</v>
      </c>
    </row>
    <row r="24" spans="1:17" x14ac:dyDescent="0.3">
      <c r="B24" t="s">
        <v>21</v>
      </c>
      <c r="C24">
        <f>AVERAGE(C9:C20)</f>
        <v>51</v>
      </c>
    </row>
    <row r="25" spans="1:17" x14ac:dyDescent="0.3">
      <c r="A25" s="21">
        <f>_xlfn.VAR.P(C9:C20)</f>
        <v>0.66666666666666663</v>
      </c>
      <c r="B25" t="s">
        <v>22</v>
      </c>
      <c r="C25" s="20">
        <f>E23/B20</f>
        <v>0.66666666666666663</v>
      </c>
    </row>
    <row r="26" spans="1:17" x14ac:dyDescent="0.3">
      <c r="B26" t="s">
        <v>23</v>
      </c>
      <c r="D26" s="22">
        <f>SQRT(C25)</f>
        <v>0.81649658092772603</v>
      </c>
      <c r="E26" s="22">
        <f>_xlfn.STDEV.P(C9:C20)</f>
        <v>0.81649658092772603</v>
      </c>
    </row>
    <row r="27" spans="1:17" x14ac:dyDescent="0.3">
      <c r="B27" t="s">
        <v>24</v>
      </c>
      <c r="E27" s="23">
        <f>D26/C24</f>
        <v>1.6009736880935804E-2</v>
      </c>
      <c r="F27" t="s">
        <v>28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27"/>
  <sheetViews>
    <sheetView workbookViewId="0">
      <selection activeCell="F12" sqref="F12"/>
    </sheetView>
  </sheetViews>
  <sheetFormatPr defaultRowHeight="14.4" x14ac:dyDescent="0.3"/>
  <sheetData>
    <row r="2" spans="1:21" x14ac:dyDescent="0.3">
      <c r="A2">
        <v>1</v>
      </c>
      <c r="B2" t="s">
        <v>0</v>
      </c>
    </row>
    <row r="3" spans="1:21" x14ac:dyDescent="0.3">
      <c r="A3">
        <v>2</v>
      </c>
      <c r="B3" t="s">
        <v>1</v>
      </c>
    </row>
    <row r="4" spans="1:21" x14ac:dyDescent="0.3">
      <c r="A4">
        <v>3</v>
      </c>
      <c r="B4" t="s">
        <v>2</v>
      </c>
    </row>
    <row r="5" spans="1:21" x14ac:dyDescent="0.3">
      <c r="A5">
        <v>4</v>
      </c>
      <c r="B5" t="s">
        <v>3</v>
      </c>
      <c r="K5" t="s">
        <v>30</v>
      </c>
    </row>
    <row r="6" spans="1:21" x14ac:dyDescent="0.3">
      <c r="A6">
        <v>5</v>
      </c>
      <c r="B6" t="s">
        <v>10</v>
      </c>
    </row>
    <row r="8" spans="1:21" ht="15.6" x14ac:dyDescent="0.35">
      <c r="B8" s="1" t="s">
        <v>4</v>
      </c>
      <c r="C8" s="1" t="s">
        <v>5</v>
      </c>
      <c r="D8" t="s">
        <v>50</v>
      </c>
      <c r="E8" t="s">
        <v>51</v>
      </c>
      <c r="F8" t="s">
        <v>31</v>
      </c>
      <c r="G8" t="s">
        <v>52</v>
      </c>
      <c r="H8" t="s">
        <v>53</v>
      </c>
    </row>
    <row r="9" spans="1:21" x14ac:dyDescent="0.3">
      <c r="B9" s="12">
        <v>1</v>
      </c>
      <c r="C9" s="12">
        <v>52</v>
      </c>
      <c r="D9" s="24" t="s">
        <v>35</v>
      </c>
      <c r="E9" s="24" t="s">
        <v>35</v>
      </c>
      <c r="F9" s="24" t="s">
        <v>35</v>
      </c>
      <c r="G9" s="24" t="s">
        <v>35</v>
      </c>
      <c r="H9" s="24" t="s">
        <v>35</v>
      </c>
    </row>
    <row r="10" spans="1:21" x14ac:dyDescent="0.3">
      <c r="B10" s="12">
        <v>2</v>
      </c>
      <c r="C10" s="12">
        <v>50</v>
      </c>
      <c r="D10">
        <f>C9</f>
        <v>52</v>
      </c>
      <c r="E10" s="24" t="s">
        <v>35</v>
      </c>
      <c r="F10" s="24" t="s">
        <v>35</v>
      </c>
      <c r="G10" s="24" t="s">
        <v>35</v>
      </c>
      <c r="H10" s="24" t="s">
        <v>35</v>
      </c>
    </row>
    <row r="11" spans="1:21" x14ac:dyDescent="0.3">
      <c r="B11" s="12">
        <v>3</v>
      </c>
      <c r="C11" s="12">
        <v>53</v>
      </c>
      <c r="D11">
        <f t="shared" ref="D11:D20" si="0">C10</f>
        <v>50</v>
      </c>
      <c r="E11">
        <f>C9</f>
        <v>52</v>
      </c>
      <c r="F11">
        <f>C10+(C10-C9)</f>
        <v>48</v>
      </c>
      <c r="G11">
        <f>C11-F11</f>
        <v>5</v>
      </c>
      <c r="H11">
        <f>G11^2</f>
        <v>25</v>
      </c>
    </row>
    <row r="12" spans="1:21" x14ac:dyDescent="0.3">
      <c r="B12" s="12">
        <v>4</v>
      </c>
      <c r="C12" s="12">
        <v>55</v>
      </c>
      <c r="D12">
        <f t="shared" si="0"/>
        <v>53</v>
      </c>
      <c r="E12">
        <f t="shared" ref="E12:E20" si="1">C10</f>
        <v>50</v>
      </c>
      <c r="F12">
        <f t="shared" ref="F12:F21" si="2">C11+(C11-C10)</f>
        <v>56</v>
      </c>
      <c r="G12">
        <f t="shared" ref="G12:G20" si="3">C12-F12</f>
        <v>-1</v>
      </c>
      <c r="H12">
        <f t="shared" ref="H12:H20" si="4">G12^2</f>
        <v>1</v>
      </c>
      <c r="K12" t="s">
        <v>33</v>
      </c>
      <c r="L12" t="s">
        <v>54</v>
      </c>
      <c r="M12">
        <f>AVERAGE(H11:H20)</f>
        <v>10.6</v>
      </c>
      <c r="U12" s="32" t="s">
        <v>56</v>
      </c>
    </row>
    <row r="13" spans="1:21" x14ac:dyDescent="0.3">
      <c r="B13" s="12">
        <v>5</v>
      </c>
      <c r="C13" s="12">
        <v>54</v>
      </c>
      <c r="D13">
        <f t="shared" si="0"/>
        <v>55</v>
      </c>
      <c r="E13">
        <f t="shared" si="1"/>
        <v>53</v>
      </c>
      <c r="F13">
        <f t="shared" si="2"/>
        <v>57</v>
      </c>
      <c r="G13">
        <f t="shared" si="3"/>
        <v>-3</v>
      </c>
      <c r="H13">
        <f t="shared" si="4"/>
        <v>9</v>
      </c>
      <c r="L13" t="s">
        <v>40</v>
      </c>
      <c r="M13">
        <f>SQRT(M12)</f>
        <v>3.2557641192199411</v>
      </c>
    </row>
    <row r="14" spans="1:21" x14ac:dyDescent="0.3">
      <c r="B14" s="12">
        <v>6</v>
      </c>
      <c r="C14" s="12">
        <v>57</v>
      </c>
      <c r="D14">
        <f t="shared" si="0"/>
        <v>54</v>
      </c>
      <c r="E14">
        <f t="shared" si="1"/>
        <v>55</v>
      </c>
      <c r="F14">
        <f t="shared" si="2"/>
        <v>53</v>
      </c>
      <c r="G14">
        <f t="shared" si="3"/>
        <v>4</v>
      </c>
      <c r="H14">
        <f t="shared" si="4"/>
        <v>16</v>
      </c>
      <c r="L14" t="s">
        <v>43</v>
      </c>
      <c r="M14">
        <f>M13/C24</f>
        <v>5.5813099186627559E-2</v>
      </c>
      <c r="N14" s="31">
        <f>M14</f>
        <v>5.5813099186627559E-2</v>
      </c>
      <c r="O14" t="s">
        <v>55</v>
      </c>
    </row>
    <row r="15" spans="1:21" x14ac:dyDescent="0.3">
      <c r="B15" s="12">
        <v>7</v>
      </c>
      <c r="C15" s="12">
        <v>58</v>
      </c>
      <c r="D15">
        <f t="shared" si="0"/>
        <v>57</v>
      </c>
      <c r="E15">
        <f t="shared" si="1"/>
        <v>54</v>
      </c>
      <c r="F15">
        <f t="shared" si="2"/>
        <v>60</v>
      </c>
      <c r="G15">
        <f t="shared" si="3"/>
        <v>-2</v>
      </c>
      <c r="H15">
        <f t="shared" si="4"/>
        <v>4</v>
      </c>
    </row>
    <row r="16" spans="1:21" x14ac:dyDescent="0.3">
      <c r="B16" s="12">
        <v>8</v>
      </c>
      <c r="C16" s="12">
        <v>62</v>
      </c>
      <c r="D16">
        <f t="shared" si="0"/>
        <v>58</v>
      </c>
      <c r="E16">
        <f t="shared" si="1"/>
        <v>57</v>
      </c>
      <c r="F16">
        <f t="shared" si="2"/>
        <v>59</v>
      </c>
      <c r="G16">
        <f t="shared" si="3"/>
        <v>3</v>
      </c>
      <c r="H16">
        <f t="shared" si="4"/>
        <v>9</v>
      </c>
      <c r="K16" t="s">
        <v>46</v>
      </c>
    </row>
    <row r="17" spans="1:8" x14ac:dyDescent="0.3">
      <c r="B17" s="12">
        <v>9</v>
      </c>
      <c r="C17" s="12">
        <v>61</v>
      </c>
      <c r="D17">
        <f t="shared" si="0"/>
        <v>62</v>
      </c>
      <c r="E17">
        <f t="shared" si="1"/>
        <v>58</v>
      </c>
      <c r="F17">
        <f t="shared" si="2"/>
        <v>66</v>
      </c>
      <c r="G17">
        <f t="shared" si="3"/>
        <v>-5</v>
      </c>
      <c r="H17">
        <f t="shared" si="4"/>
        <v>25</v>
      </c>
    </row>
    <row r="18" spans="1:8" x14ac:dyDescent="0.3">
      <c r="B18" s="12">
        <v>10</v>
      </c>
      <c r="C18" s="12">
        <v>64</v>
      </c>
      <c r="D18">
        <f t="shared" si="0"/>
        <v>61</v>
      </c>
      <c r="E18">
        <f t="shared" si="1"/>
        <v>62</v>
      </c>
      <c r="F18">
        <f t="shared" si="2"/>
        <v>60</v>
      </c>
      <c r="G18">
        <f t="shared" si="3"/>
        <v>4</v>
      </c>
      <c r="H18">
        <f t="shared" si="4"/>
        <v>16</v>
      </c>
    </row>
    <row r="19" spans="1:8" x14ac:dyDescent="0.3">
      <c r="B19" s="12">
        <v>11</v>
      </c>
      <c r="C19" s="12">
        <v>66</v>
      </c>
      <c r="D19">
        <f t="shared" si="0"/>
        <v>64</v>
      </c>
      <c r="E19">
        <f t="shared" si="1"/>
        <v>61</v>
      </c>
      <c r="F19">
        <f t="shared" si="2"/>
        <v>67</v>
      </c>
      <c r="G19">
        <f t="shared" si="3"/>
        <v>-1</v>
      </c>
      <c r="H19">
        <f t="shared" si="4"/>
        <v>1</v>
      </c>
    </row>
    <row r="20" spans="1:8" x14ac:dyDescent="0.3">
      <c r="B20" s="12">
        <v>12</v>
      </c>
      <c r="C20" s="12">
        <v>68</v>
      </c>
      <c r="D20">
        <f t="shared" si="0"/>
        <v>66</v>
      </c>
      <c r="E20">
        <f t="shared" si="1"/>
        <v>64</v>
      </c>
      <c r="F20">
        <f t="shared" si="2"/>
        <v>68</v>
      </c>
      <c r="G20">
        <f t="shared" si="3"/>
        <v>0</v>
      </c>
      <c r="H20">
        <f t="shared" si="4"/>
        <v>0</v>
      </c>
    </row>
    <row r="21" spans="1:8" x14ac:dyDescent="0.3">
      <c r="A21" s="32">
        <v>4</v>
      </c>
      <c r="B21" s="33">
        <v>13</v>
      </c>
      <c r="F21" s="32">
        <f t="shared" si="2"/>
        <v>70</v>
      </c>
    </row>
    <row r="23" spans="1:8" x14ac:dyDescent="0.3">
      <c r="A23" t="s">
        <v>29</v>
      </c>
      <c r="B23" t="s">
        <v>20</v>
      </c>
      <c r="C23">
        <f>SUM(C9:C20)</f>
        <v>700</v>
      </c>
      <c r="H23">
        <f>SUM(H11:H20)</f>
        <v>106</v>
      </c>
    </row>
    <row r="24" spans="1:8" x14ac:dyDescent="0.3">
      <c r="B24" t="s">
        <v>21</v>
      </c>
      <c r="C24" s="20">
        <f>AVERAGE(C9:C20)</f>
        <v>58.333333333333336</v>
      </c>
    </row>
    <row r="25" spans="1:8" x14ac:dyDescent="0.3">
      <c r="B25" t="s">
        <v>22</v>
      </c>
      <c r="C25" s="20">
        <f>_xlfn.VAR.P(C9:C20)</f>
        <v>31.222222222222225</v>
      </c>
    </row>
    <row r="26" spans="1:8" x14ac:dyDescent="0.3">
      <c r="B26" t="s">
        <v>48</v>
      </c>
      <c r="C26" s="20">
        <f>_xlfn.STDEV.P(C9:C20)</f>
        <v>5.587684871413404</v>
      </c>
    </row>
    <row r="27" spans="1:8" x14ac:dyDescent="0.3">
      <c r="B27" t="s">
        <v>49</v>
      </c>
      <c r="C27">
        <f>C26/C24</f>
        <v>9.5788883509944064E-2</v>
      </c>
      <c r="D27" s="31">
        <f>C27</f>
        <v>9.5788883509944064E-2</v>
      </c>
      <c r="E27" t="s">
        <v>28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27"/>
  <sheetViews>
    <sheetView topLeftCell="A2" workbookViewId="0">
      <selection activeCell="K18" sqref="K18"/>
    </sheetView>
  </sheetViews>
  <sheetFormatPr defaultRowHeight="14.4" x14ac:dyDescent="0.3"/>
  <sheetData>
    <row r="2" spans="2:12" x14ac:dyDescent="0.3">
      <c r="B2" t="s">
        <v>0</v>
      </c>
    </row>
    <row r="3" spans="2:12" x14ac:dyDescent="0.3">
      <c r="B3" t="s">
        <v>1</v>
      </c>
    </row>
    <row r="4" spans="2:12" x14ac:dyDescent="0.3">
      <c r="B4" t="s">
        <v>2</v>
      </c>
    </row>
    <row r="5" spans="2:12" x14ac:dyDescent="0.3">
      <c r="B5" t="s">
        <v>9</v>
      </c>
    </row>
    <row r="6" spans="2:12" x14ac:dyDescent="0.3">
      <c r="B6" t="s">
        <v>10</v>
      </c>
      <c r="J6" t="s">
        <v>30</v>
      </c>
    </row>
    <row r="8" spans="2:12" ht="15.6" x14ac:dyDescent="0.35">
      <c r="B8" s="1" t="s">
        <v>6</v>
      </c>
      <c r="C8" s="1" t="s">
        <v>4</v>
      </c>
      <c r="D8" s="1" t="s">
        <v>5</v>
      </c>
      <c r="E8" s="34" t="s">
        <v>31</v>
      </c>
      <c r="F8" s="34" t="s">
        <v>52</v>
      </c>
      <c r="G8" s="35" t="s">
        <v>59</v>
      </c>
    </row>
    <row r="9" spans="2:12" x14ac:dyDescent="0.3">
      <c r="B9" s="2">
        <v>2012</v>
      </c>
      <c r="C9" s="2">
        <v>1</v>
      </c>
      <c r="D9" s="2">
        <v>100</v>
      </c>
      <c r="E9" s="24" t="s">
        <v>35</v>
      </c>
    </row>
    <row r="10" spans="2:12" x14ac:dyDescent="0.3">
      <c r="B10" s="2">
        <v>2013</v>
      </c>
      <c r="C10" s="2">
        <v>2</v>
      </c>
      <c r="D10" s="2">
        <v>105</v>
      </c>
      <c r="E10" s="24" t="s">
        <v>35</v>
      </c>
    </row>
    <row r="11" spans="2:12" x14ac:dyDescent="0.3">
      <c r="B11" s="2">
        <v>2014</v>
      </c>
      <c r="C11" s="2">
        <v>3</v>
      </c>
      <c r="D11" s="2">
        <v>115</v>
      </c>
      <c r="E11">
        <f>D10*(D10/D9)</f>
        <v>110.25</v>
      </c>
      <c r="F11">
        <f>D11-E11</f>
        <v>4.75</v>
      </c>
      <c r="G11">
        <f>F11^2</f>
        <v>22.5625</v>
      </c>
    </row>
    <row r="12" spans="2:12" x14ac:dyDescent="0.3">
      <c r="B12" s="2">
        <v>2015</v>
      </c>
      <c r="C12" s="2">
        <v>4</v>
      </c>
      <c r="D12" s="2">
        <v>135</v>
      </c>
      <c r="E12">
        <f t="shared" ref="E12:E20" si="0">D11*(D11/D10)</f>
        <v>125.95238095238096</v>
      </c>
      <c r="F12">
        <f t="shared" ref="F12:F20" si="1">D12-E12</f>
        <v>9.0476190476190368</v>
      </c>
      <c r="G12">
        <f t="shared" ref="G12:G20" si="2">F12^2</f>
        <v>81.859410430838807</v>
      </c>
    </row>
    <row r="13" spans="2:12" x14ac:dyDescent="0.3">
      <c r="B13" s="2">
        <v>2016</v>
      </c>
      <c r="C13" s="2">
        <v>5</v>
      </c>
      <c r="D13" s="2">
        <v>130</v>
      </c>
      <c r="E13">
        <f t="shared" si="0"/>
        <v>158.47826086956522</v>
      </c>
      <c r="F13">
        <f t="shared" si="1"/>
        <v>-28.478260869565219</v>
      </c>
      <c r="G13">
        <f t="shared" si="2"/>
        <v>811.01134215500952</v>
      </c>
    </row>
    <row r="14" spans="2:12" x14ac:dyDescent="0.3">
      <c r="B14" s="2">
        <v>2017</v>
      </c>
      <c r="C14" s="2">
        <v>6</v>
      </c>
      <c r="D14" s="2">
        <v>155</v>
      </c>
      <c r="E14">
        <f t="shared" si="0"/>
        <v>125.18518518518518</v>
      </c>
      <c r="F14">
        <f t="shared" si="1"/>
        <v>29.814814814814824</v>
      </c>
      <c r="G14">
        <f t="shared" si="2"/>
        <v>888.92318244170144</v>
      </c>
    </row>
    <row r="15" spans="2:12" x14ac:dyDescent="0.3">
      <c r="B15" s="2">
        <v>2018</v>
      </c>
      <c r="C15" s="2">
        <v>7</v>
      </c>
      <c r="D15" s="2">
        <v>188</v>
      </c>
      <c r="E15">
        <f t="shared" si="0"/>
        <v>184.80769230769229</v>
      </c>
      <c r="F15">
        <f t="shared" si="1"/>
        <v>3.1923076923077076</v>
      </c>
      <c r="G15">
        <f t="shared" si="2"/>
        <v>10.190828402366961</v>
      </c>
      <c r="K15" t="s">
        <v>60</v>
      </c>
      <c r="L15">
        <f>AVERAGE(G11:G20)</f>
        <v>1478.8079119206536</v>
      </c>
    </row>
    <row r="16" spans="2:12" x14ac:dyDescent="0.3">
      <c r="B16" s="2">
        <v>2019</v>
      </c>
      <c r="C16" s="2">
        <v>8</v>
      </c>
      <c r="D16" s="2">
        <v>195</v>
      </c>
      <c r="E16">
        <f t="shared" si="0"/>
        <v>228.02580645161291</v>
      </c>
      <c r="F16">
        <f t="shared" si="1"/>
        <v>-33.025806451612908</v>
      </c>
      <c r="G16">
        <f t="shared" si="2"/>
        <v>1090.7038917793968</v>
      </c>
      <c r="K16" t="s">
        <v>40</v>
      </c>
      <c r="L16">
        <f>SQRT(L15)</f>
        <v>38.455271575177484</v>
      </c>
    </row>
    <row r="17" spans="2:13" x14ac:dyDescent="0.3">
      <c r="B17" s="2">
        <v>2020</v>
      </c>
      <c r="C17" s="2">
        <v>9</v>
      </c>
      <c r="D17" s="2">
        <v>235</v>
      </c>
      <c r="E17">
        <f t="shared" si="0"/>
        <v>202.26063829787233</v>
      </c>
      <c r="F17">
        <f t="shared" si="1"/>
        <v>32.739361702127667</v>
      </c>
      <c r="G17">
        <f t="shared" si="2"/>
        <v>1071.8658046627438</v>
      </c>
      <c r="K17" t="s">
        <v>43</v>
      </c>
      <c r="L17">
        <f>L16/D24</f>
        <v>0.18297512248300152</v>
      </c>
      <c r="M17" s="23">
        <f>L17</f>
        <v>0.18297512248300152</v>
      </c>
    </row>
    <row r="18" spans="2:13" x14ac:dyDescent="0.3">
      <c r="B18" s="2">
        <v>2021</v>
      </c>
      <c r="C18" s="2">
        <v>10</v>
      </c>
      <c r="D18" s="2">
        <v>255</v>
      </c>
      <c r="E18">
        <f t="shared" si="0"/>
        <v>283.20512820512818</v>
      </c>
      <c r="F18">
        <f t="shared" si="1"/>
        <v>-28.205128205128176</v>
      </c>
      <c r="G18">
        <f t="shared" si="2"/>
        <v>795.52925706771691</v>
      </c>
    </row>
    <row r="19" spans="2:13" x14ac:dyDescent="0.3">
      <c r="B19" s="2">
        <v>2022</v>
      </c>
      <c r="C19" s="2">
        <v>11</v>
      </c>
      <c r="D19" s="2">
        <v>354</v>
      </c>
      <c r="E19">
        <f t="shared" si="0"/>
        <v>276.70212765957444</v>
      </c>
      <c r="F19">
        <f t="shared" si="1"/>
        <v>77.297872340425556</v>
      </c>
      <c r="G19">
        <f t="shared" si="2"/>
        <v>5974.9610683567262</v>
      </c>
    </row>
    <row r="20" spans="2:13" x14ac:dyDescent="0.3">
      <c r="B20" s="2">
        <v>2023</v>
      </c>
      <c r="C20" s="2">
        <v>12</v>
      </c>
      <c r="D20" s="2">
        <v>555</v>
      </c>
      <c r="E20">
        <f t="shared" si="0"/>
        <v>491.43529411764706</v>
      </c>
      <c r="F20">
        <f t="shared" si="1"/>
        <v>63.564705882352939</v>
      </c>
      <c r="G20">
        <f t="shared" si="2"/>
        <v>4040.4718339100345</v>
      </c>
    </row>
    <row r="23" spans="2:13" x14ac:dyDescent="0.3">
      <c r="B23" t="s">
        <v>20</v>
      </c>
      <c r="D23">
        <f>SUM(D9:D20)</f>
        <v>2522</v>
      </c>
    </row>
    <row r="24" spans="2:13" x14ac:dyDescent="0.3">
      <c r="B24" t="s">
        <v>21</v>
      </c>
      <c r="D24">
        <f>AVERAGE(D9:D20)</f>
        <v>210.16666666666666</v>
      </c>
    </row>
    <row r="25" spans="2:13" x14ac:dyDescent="0.3">
      <c r="B25" t="s">
        <v>22</v>
      </c>
      <c r="D25">
        <f>_xlfn.VAR.P(D9:D20)</f>
        <v>15859.972222222223</v>
      </c>
    </row>
    <row r="26" spans="2:13" x14ac:dyDescent="0.3">
      <c r="B26" t="s">
        <v>48</v>
      </c>
      <c r="D26">
        <f>_xlfn.STDEV.P(D9:D20)</f>
        <v>125.936381646537</v>
      </c>
    </row>
    <row r="27" spans="2:13" x14ac:dyDescent="0.3">
      <c r="B27" t="s">
        <v>57</v>
      </c>
      <c r="D27">
        <f>D26/D24</f>
        <v>0.59922148285426013</v>
      </c>
      <c r="E27" s="23">
        <f>D27</f>
        <v>0.59922148285426013</v>
      </c>
      <c r="F27" t="s">
        <v>58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D20"/>
  <sheetViews>
    <sheetView workbookViewId="0">
      <selection activeCell="E25" sqref="E25"/>
    </sheetView>
  </sheetViews>
  <sheetFormatPr defaultRowHeight="14.4" x14ac:dyDescent="0.3"/>
  <sheetData>
    <row r="2" spans="2:4" x14ac:dyDescent="0.3">
      <c r="B2" t="s">
        <v>0</v>
      </c>
    </row>
    <row r="3" spans="2:4" x14ac:dyDescent="0.3">
      <c r="B3" t="s">
        <v>1</v>
      </c>
    </row>
    <row r="4" spans="2:4" x14ac:dyDescent="0.3">
      <c r="B4" t="s">
        <v>2</v>
      </c>
    </row>
    <row r="5" spans="2:4" x14ac:dyDescent="0.3">
      <c r="B5" t="s">
        <v>3</v>
      </c>
    </row>
    <row r="6" spans="2:4" x14ac:dyDescent="0.3">
      <c r="B6" t="s">
        <v>10</v>
      </c>
    </row>
    <row r="8" spans="2:4" ht="15.6" x14ac:dyDescent="0.35">
      <c r="B8" s="1" t="s">
        <v>6</v>
      </c>
      <c r="C8" s="1" t="s">
        <v>4</v>
      </c>
      <c r="D8" s="1" t="s">
        <v>5</v>
      </c>
    </row>
    <row r="9" spans="2:4" x14ac:dyDescent="0.3">
      <c r="B9" s="2">
        <v>2010</v>
      </c>
      <c r="C9" s="2">
        <v>1</v>
      </c>
      <c r="D9" s="2">
        <v>50</v>
      </c>
    </row>
    <row r="10" spans="2:4" x14ac:dyDescent="0.3">
      <c r="B10" s="2">
        <v>2011</v>
      </c>
      <c r="C10" s="2">
        <v>2</v>
      </c>
      <c r="D10" s="2">
        <v>115</v>
      </c>
    </row>
    <row r="11" spans="2:4" x14ac:dyDescent="0.3">
      <c r="B11" s="2">
        <v>2012</v>
      </c>
      <c r="C11" s="2">
        <v>3</v>
      </c>
      <c r="D11" s="2">
        <v>155</v>
      </c>
    </row>
    <row r="12" spans="2:4" x14ac:dyDescent="0.3">
      <c r="B12" s="2">
        <v>2013</v>
      </c>
      <c r="C12" s="2">
        <v>4</v>
      </c>
      <c r="D12" s="2">
        <v>258</v>
      </c>
    </row>
    <row r="13" spans="2:4" x14ac:dyDescent="0.3">
      <c r="B13" s="2">
        <v>2014</v>
      </c>
      <c r="C13" s="2">
        <v>5</v>
      </c>
      <c r="D13" s="2">
        <v>288</v>
      </c>
    </row>
    <row r="14" spans="2:4" x14ac:dyDescent="0.3">
      <c r="B14" s="2">
        <v>2015</v>
      </c>
      <c r="C14" s="2">
        <v>6</v>
      </c>
      <c r="D14" s="2">
        <v>345</v>
      </c>
    </row>
    <row r="15" spans="2:4" x14ac:dyDescent="0.3">
      <c r="B15" s="2">
        <v>2016</v>
      </c>
      <c r="C15" s="2">
        <v>7</v>
      </c>
      <c r="D15" s="2">
        <v>355</v>
      </c>
    </row>
    <row r="16" spans="2:4" x14ac:dyDescent="0.3">
      <c r="B16" s="2">
        <v>2017</v>
      </c>
      <c r="C16" s="2">
        <v>8</v>
      </c>
      <c r="D16" s="2">
        <v>385</v>
      </c>
    </row>
    <row r="17" spans="2:4" x14ac:dyDescent="0.3">
      <c r="B17" s="2">
        <v>2018</v>
      </c>
      <c r="C17" s="2">
        <v>9</v>
      </c>
      <c r="D17" s="2">
        <v>421</v>
      </c>
    </row>
    <row r="18" spans="2:4" x14ac:dyDescent="0.3">
      <c r="B18" s="2">
        <v>2019</v>
      </c>
      <c r="C18" s="2">
        <v>10</v>
      </c>
      <c r="D18" s="2">
        <v>423</v>
      </c>
    </row>
    <row r="19" spans="2:4" x14ac:dyDescent="0.3">
      <c r="B19" s="2">
        <v>2020</v>
      </c>
      <c r="C19" s="2">
        <v>11</v>
      </c>
      <c r="D19" s="2">
        <v>435</v>
      </c>
    </row>
    <row r="20" spans="2:4" x14ac:dyDescent="0.3">
      <c r="B20" s="2">
        <v>2021</v>
      </c>
      <c r="C20" s="2">
        <v>12</v>
      </c>
      <c r="D20" s="2">
        <v>442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G21"/>
  <sheetViews>
    <sheetView tabSelected="1" workbookViewId="0">
      <selection activeCell="G7" sqref="G7"/>
    </sheetView>
  </sheetViews>
  <sheetFormatPr defaultRowHeight="14.4" x14ac:dyDescent="0.3"/>
  <sheetData>
    <row r="2" spans="2:7" x14ac:dyDescent="0.3">
      <c r="B2" t="s">
        <v>0</v>
      </c>
    </row>
    <row r="3" spans="2:7" x14ac:dyDescent="0.3">
      <c r="B3" t="s">
        <v>1</v>
      </c>
    </row>
    <row r="4" spans="2:7" x14ac:dyDescent="0.3">
      <c r="B4" t="s">
        <v>2</v>
      </c>
    </row>
    <row r="5" spans="2:7" x14ac:dyDescent="0.3">
      <c r="B5" t="s">
        <v>19</v>
      </c>
    </row>
    <row r="6" spans="2:7" x14ac:dyDescent="0.3">
      <c r="B6" t="s">
        <v>10</v>
      </c>
      <c r="G6" t="s">
        <v>61</v>
      </c>
    </row>
    <row r="8" spans="2:7" ht="15.6" x14ac:dyDescent="0.3">
      <c r="B8" s="3" t="s">
        <v>11</v>
      </c>
      <c r="C8" s="3" t="s">
        <v>16</v>
      </c>
      <c r="D8" s="3" t="s">
        <v>13</v>
      </c>
      <c r="E8" s="4" t="s">
        <v>17</v>
      </c>
    </row>
    <row r="9" spans="2:7" ht="15.6" x14ac:dyDescent="0.3">
      <c r="B9" s="5"/>
      <c r="C9" s="6" t="s">
        <v>7</v>
      </c>
      <c r="D9" s="6" t="s">
        <v>4</v>
      </c>
      <c r="E9" s="7" t="s">
        <v>8</v>
      </c>
      <c r="F9" t="s">
        <v>31</v>
      </c>
    </row>
    <row r="10" spans="2:7" ht="15.6" x14ac:dyDescent="0.3">
      <c r="B10" s="15">
        <v>2015</v>
      </c>
      <c r="C10" s="3">
        <v>1</v>
      </c>
      <c r="D10" s="3">
        <v>1</v>
      </c>
      <c r="E10" s="4">
        <v>12</v>
      </c>
    </row>
    <row r="11" spans="2:7" ht="15.6" x14ac:dyDescent="0.3">
      <c r="B11" s="16"/>
      <c r="C11" s="3">
        <v>2</v>
      </c>
      <c r="D11" s="3">
        <v>2</v>
      </c>
      <c r="E11" s="4">
        <v>7</v>
      </c>
    </row>
    <row r="12" spans="2:7" ht="15.6" x14ac:dyDescent="0.3">
      <c r="B12" s="15">
        <v>2016</v>
      </c>
      <c r="C12" s="3">
        <v>1</v>
      </c>
      <c r="D12" s="3">
        <v>3</v>
      </c>
      <c r="E12" s="4">
        <v>16</v>
      </c>
    </row>
    <row r="13" spans="2:7" ht="15.6" x14ac:dyDescent="0.3">
      <c r="B13" s="16"/>
      <c r="C13" s="3">
        <v>2</v>
      </c>
      <c r="D13" s="3">
        <v>4</v>
      </c>
      <c r="E13" s="4">
        <v>12</v>
      </c>
    </row>
    <row r="14" spans="2:7" ht="15.6" x14ac:dyDescent="0.3">
      <c r="B14" s="15">
        <v>2017</v>
      </c>
      <c r="C14" s="3">
        <v>1</v>
      </c>
      <c r="D14" s="3">
        <v>5</v>
      </c>
      <c r="E14" s="4">
        <v>20</v>
      </c>
    </row>
    <row r="15" spans="2:7" ht="15.6" x14ac:dyDescent="0.3">
      <c r="B15" s="16"/>
      <c r="C15" s="3">
        <v>2</v>
      </c>
      <c r="D15" s="3">
        <v>6</v>
      </c>
      <c r="E15" s="4">
        <v>14</v>
      </c>
    </row>
    <row r="16" spans="2:7" ht="15.6" x14ac:dyDescent="0.3">
      <c r="B16" s="15">
        <v>2018</v>
      </c>
      <c r="C16" s="3">
        <v>1</v>
      </c>
      <c r="D16" s="3">
        <v>7</v>
      </c>
      <c r="E16" s="4">
        <v>21</v>
      </c>
    </row>
    <row r="17" spans="2:5" ht="15.6" x14ac:dyDescent="0.3">
      <c r="B17" s="16"/>
      <c r="C17" s="3">
        <v>2</v>
      </c>
      <c r="D17" s="3">
        <v>8</v>
      </c>
      <c r="E17" s="4">
        <v>16</v>
      </c>
    </row>
    <row r="18" spans="2:5" ht="15.6" x14ac:dyDescent="0.3">
      <c r="B18" s="15">
        <v>2019</v>
      </c>
      <c r="C18" s="3">
        <v>1</v>
      </c>
      <c r="D18" s="3">
        <v>9</v>
      </c>
      <c r="E18" s="4">
        <v>24</v>
      </c>
    </row>
    <row r="19" spans="2:5" ht="15.6" x14ac:dyDescent="0.3">
      <c r="B19" s="16"/>
      <c r="C19" s="3">
        <v>2</v>
      </c>
      <c r="D19" s="3">
        <v>10</v>
      </c>
      <c r="E19" s="4">
        <v>17</v>
      </c>
    </row>
    <row r="20" spans="2:5" ht="15.6" x14ac:dyDescent="0.3">
      <c r="B20" s="15">
        <v>2020</v>
      </c>
      <c r="C20" s="3">
        <v>1</v>
      </c>
      <c r="D20" s="3">
        <v>11</v>
      </c>
      <c r="E20" s="4">
        <v>28</v>
      </c>
    </row>
    <row r="21" spans="2:5" ht="15.6" x14ac:dyDescent="0.3">
      <c r="B21" s="16"/>
      <c r="C21" s="3">
        <v>2</v>
      </c>
      <c r="D21" s="3">
        <v>12</v>
      </c>
      <c r="E21" s="4">
        <v>19</v>
      </c>
    </row>
  </sheetData>
  <mergeCells count="6">
    <mergeCell ref="B20:B21"/>
    <mergeCell ref="B10:B11"/>
    <mergeCell ref="B12:B13"/>
    <mergeCell ref="B14:B15"/>
    <mergeCell ref="B16:B17"/>
    <mergeCell ref="B18:B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E58"/>
  <sheetViews>
    <sheetView topLeftCell="A13" zoomScaleNormal="100" workbookViewId="0">
      <selection activeCell="H20" sqref="H20"/>
    </sheetView>
  </sheetViews>
  <sheetFormatPr defaultRowHeight="14.4" x14ac:dyDescent="0.3"/>
  <cols>
    <col min="5" max="5" width="11.44140625" style="8" bestFit="1" customWidth="1"/>
  </cols>
  <sheetData>
    <row r="2" spans="2:5" x14ac:dyDescent="0.3">
      <c r="B2" t="s">
        <v>15</v>
      </c>
    </row>
    <row r="3" spans="2:5" x14ac:dyDescent="0.3">
      <c r="B3" t="s">
        <v>0</v>
      </c>
    </row>
    <row r="4" spans="2:5" x14ac:dyDescent="0.3">
      <c r="B4" t="s">
        <v>1</v>
      </c>
    </row>
    <row r="5" spans="2:5" x14ac:dyDescent="0.3">
      <c r="B5" t="s">
        <v>2</v>
      </c>
    </row>
    <row r="6" spans="2:5" x14ac:dyDescent="0.3">
      <c r="B6" t="s">
        <v>18</v>
      </c>
    </row>
    <row r="7" spans="2:5" x14ac:dyDescent="0.3">
      <c r="B7" t="s">
        <v>10</v>
      </c>
    </row>
    <row r="9" spans="2:5" x14ac:dyDescent="0.3">
      <c r="B9" s="11" t="s">
        <v>11</v>
      </c>
      <c r="C9" s="11" t="s">
        <v>12</v>
      </c>
      <c r="D9" s="11" t="s">
        <v>13</v>
      </c>
      <c r="E9" s="13" t="s">
        <v>14</v>
      </c>
    </row>
    <row r="10" spans="2:5" s="9" customFormat="1" x14ac:dyDescent="0.3">
      <c r="C10" s="1" t="s">
        <v>7</v>
      </c>
      <c r="D10" s="1" t="s">
        <v>4</v>
      </c>
      <c r="E10" s="10" t="s">
        <v>8</v>
      </c>
    </row>
    <row r="11" spans="2:5" x14ac:dyDescent="0.3">
      <c r="B11" s="17">
        <v>2020</v>
      </c>
      <c r="C11" s="2">
        <v>1</v>
      </c>
      <c r="D11" s="2">
        <v>1</v>
      </c>
      <c r="E11" s="14">
        <v>2291506</v>
      </c>
    </row>
    <row r="12" spans="2:5" x14ac:dyDescent="0.3">
      <c r="B12" s="17"/>
      <c r="C12" s="2">
        <v>2</v>
      </c>
      <c r="D12" s="2">
        <v>2</v>
      </c>
      <c r="E12" s="14">
        <v>2378371</v>
      </c>
    </row>
    <row r="13" spans="2:5" x14ac:dyDescent="0.3">
      <c r="B13" s="17"/>
      <c r="C13" s="2">
        <v>3</v>
      </c>
      <c r="D13" s="2">
        <v>3</v>
      </c>
      <c r="E13" s="14">
        <v>881365</v>
      </c>
    </row>
    <row r="14" spans="2:5" x14ac:dyDescent="0.3">
      <c r="B14" s="17"/>
      <c r="C14" s="2">
        <v>4</v>
      </c>
      <c r="D14" s="12">
        <v>4</v>
      </c>
      <c r="E14" s="14">
        <v>86386</v>
      </c>
    </row>
    <row r="15" spans="2:5" x14ac:dyDescent="0.3">
      <c r="B15" s="17"/>
      <c r="C15" s="2">
        <v>5</v>
      </c>
      <c r="D15" s="12">
        <v>5</v>
      </c>
      <c r="E15" s="14">
        <v>387177</v>
      </c>
    </row>
    <row r="16" spans="2:5" x14ac:dyDescent="0.3">
      <c r="B16" s="17"/>
      <c r="C16" s="2">
        <v>6</v>
      </c>
      <c r="D16" s="12">
        <v>6</v>
      </c>
      <c r="E16" s="14">
        <v>1314252</v>
      </c>
    </row>
    <row r="17" spans="2:5" x14ac:dyDescent="0.3">
      <c r="B17" s="17"/>
      <c r="C17" s="2">
        <v>7</v>
      </c>
      <c r="D17" s="12">
        <v>7</v>
      </c>
      <c r="E17" s="14">
        <v>2711895</v>
      </c>
    </row>
    <row r="18" spans="2:5" x14ac:dyDescent="0.3">
      <c r="B18" s="17"/>
      <c r="C18" s="2">
        <v>8</v>
      </c>
      <c r="D18" s="12">
        <v>8</v>
      </c>
      <c r="E18" s="14">
        <v>3208081</v>
      </c>
    </row>
    <row r="19" spans="2:5" x14ac:dyDescent="0.3">
      <c r="B19" s="17"/>
      <c r="C19" s="2">
        <v>9</v>
      </c>
      <c r="D19" s="12">
        <v>9</v>
      </c>
      <c r="E19" s="14">
        <v>2194007</v>
      </c>
    </row>
    <row r="20" spans="2:5" x14ac:dyDescent="0.3">
      <c r="B20" s="17"/>
      <c r="C20" s="2">
        <v>10</v>
      </c>
      <c r="D20" s="12">
        <v>10</v>
      </c>
      <c r="E20" s="14">
        <v>1363224</v>
      </c>
    </row>
    <row r="21" spans="2:5" x14ac:dyDescent="0.3">
      <c r="B21" s="17"/>
      <c r="C21" s="2">
        <v>11</v>
      </c>
      <c r="D21" s="12">
        <v>11</v>
      </c>
      <c r="E21" s="14">
        <v>586655</v>
      </c>
    </row>
    <row r="22" spans="2:5" x14ac:dyDescent="0.3">
      <c r="B22" s="17"/>
      <c r="C22" s="2">
        <v>12</v>
      </c>
      <c r="D22" s="12">
        <v>12</v>
      </c>
      <c r="E22" s="14">
        <v>476050</v>
      </c>
    </row>
    <row r="23" spans="2:5" x14ac:dyDescent="0.3">
      <c r="B23" s="17">
        <v>2021</v>
      </c>
      <c r="C23" s="2">
        <v>1</v>
      </c>
      <c r="D23" s="12">
        <v>13</v>
      </c>
      <c r="E23" s="14">
        <v>213149</v>
      </c>
    </row>
    <row r="24" spans="2:5" x14ac:dyDescent="0.3">
      <c r="B24" s="17"/>
      <c r="C24" s="2">
        <v>2</v>
      </c>
      <c r="D24" s="12">
        <v>14</v>
      </c>
      <c r="E24" s="14">
        <v>697443</v>
      </c>
    </row>
    <row r="25" spans="2:5" x14ac:dyDescent="0.3">
      <c r="B25" s="17"/>
      <c r="C25" s="2">
        <v>3</v>
      </c>
      <c r="D25" s="12">
        <v>15</v>
      </c>
      <c r="E25" s="14">
        <v>651958</v>
      </c>
    </row>
    <row r="26" spans="2:5" x14ac:dyDescent="0.3">
      <c r="B26" s="17"/>
      <c r="C26" s="2">
        <v>4</v>
      </c>
      <c r="D26" s="12">
        <v>16</v>
      </c>
      <c r="E26" s="14">
        <v>379809</v>
      </c>
    </row>
    <row r="27" spans="2:5" x14ac:dyDescent="0.3">
      <c r="B27" s="17"/>
      <c r="C27" s="2">
        <v>5</v>
      </c>
      <c r="D27" s="12">
        <v>17</v>
      </c>
      <c r="E27" s="14">
        <v>1101217</v>
      </c>
    </row>
    <row r="28" spans="2:5" x14ac:dyDescent="0.3">
      <c r="B28" s="17"/>
      <c r="C28" s="2">
        <v>6</v>
      </c>
      <c r="D28" s="12">
        <v>18</v>
      </c>
      <c r="E28" s="14">
        <v>2252173</v>
      </c>
    </row>
    <row r="29" spans="2:5" x14ac:dyDescent="0.3">
      <c r="B29" s="17"/>
      <c r="C29" s="2">
        <v>7</v>
      </c>
      <c r="D29" s="12">
        <v>19</v>
      </c>
      <c r="E29" s="14">
        <v>3592764</v>
      </c>
    </row>
    <row r="30" spans="2:5" x14ac:dyDescent="0.3">
      <c r="B30" s="17"/>
      <c r="C30" s="2">
        <v>8</v>
      </c>
      <c r="D30" s="12">
        <v>20</v>
      </c>
      <c r="E30" s="14">
        <v>3854142</v>
      </c>
    </row>
    <row r="31" spans="2:5" x14ac:dyDescent="0.3">
      <c r="B31" s="17"/>
      <c r="C31" s="2">
        <v>9</v>
      </c>
      <c r="D31" s="12">
        <v>21</v>
      </c>
      <c r="E31" s="14">
        <v>2994328</v>
      </c>
    </row>
    <row r="32" spans="2:5" x14ac:dyDescent="0.3">
      <c r="B32" s="17"/>
      <c r="C32" s="2">
        <v>10</v>
      </c>
      <c r="D32" s="12">
        <v>22</v>
      </c>
      <c r="E32" s="14">
        <v>2661755</v>
      </c>
    </row>
    <row r="33" spans="2:5" x14ac:dyDescent="0.3">
      <c r="B33" s="17"/>
      <c r="C33" s="2">
        <v>11</v>
      </c>
      <c r="D33" s="12">
        <v>23</v>
      </c>
      <c r="E33" s="14">
        <v>2016846</v>
      </c>
    </row>
    <row r="34" spans="2:5" x14ac:dyDescent="0.3">
      <c r="B34" s="17"/>
      <c r="C34" s="2">
        <v>12</v>
      </c>
      <c r="D34" s="12">
        <v>24</v>
      </c>
      <c r="E34" s="14">
        <v>1783388</v>
      </c>
    </row>
    <row r="35" spans="2:5" x14ac:dyDescent="0.3">
      <c r="B35" s="17">
        <v>2022</v>
      </c>
      <c r="C35" s="2">
        <v>1</v>
      </c>
      <c r="D35" s="12">
        <v>25</v>
      </c>
      <c r="E35" s="14">
        <v>1733979</v>
      </c>
    </row>
    <row r="36" spans="2:5" x14ac:dyDescent="0.3">
      <c r="B36" s="17"/>
      <c r="C36" s="2">
        <v>2</v>
      </c>
      <c r="D36" s="12">
        <v>26</v>
      </c>
      <c r="E36" s="14">
        <v>1976996</v>
      </c>
    </row>
    <row r="37" spans="2:5" x14ac:dyDescent="0.3">
      <c r="B37" s="17"/>
      <c r="C37" s="2">
        <v>3</v>
      </c>
      <c r="D37" s="12">
        <v>27</v>
      </c>
      <c r="E37" s="14">
        <v>2233197</v>
      </c>
    </row>
    <row r="38" spans="2:5" x14ac:dyDescent="0.3">
      <c r="B38" s="17"/>
      <c r="C38" s="2">
        <v>4</v>
      </c>
      <c r="D38" s="12">
        <v>28</v>
      </c>
      <c r="E38" s="14">
        <v>2378446</v>
      </c>
    </row>
    <row r="39" spans="2:5" x14ac:dyDescent="0.3">
      <c r="B39" s="17"/>
      <c r="C39" s="2">
        <v>5</v>
      </c>
      <c r="D39" s="12">
        <v>29</v>
      </c>
      <c r="E39" s="14">
        <v>2876125</v>
      </c>
    </row>
    <row r="40" spans="2:5" x14ac:dyDescent="0.3">
      <c r="B40" s="17"/>
      <c r="C40" s="2">
        <v>6</v>
      </c>
      <c r="D40" s="12">
        <v>30</v>
      </c>
      <c r="E40" s="14">
        <v>3475155</v>
      </c>
    </row>
    <row r="41" spans="2:5" x14ac:dyDescent="0.3">
      <c r="B41" s="17"/>
      <c r="C41" s="2">
        <v>7</v>
      </c>
      <c r="D41" s="12">
        <v>31</v>
      </c>
      <c r="E41" s="14">
        <v>4018542</v>
      </c>
    </row>
    <row r="42" spans="2:5" x14ac:dyDescent="0.3">
      <c r="B42" s="17"/>
      <c r="C42" s="2">
        <v>8</v>
      </c>
      <c r="D42" s="12">
        <v>32</v>
      </c>
      <c r="E42" s="14">
        <v>4162095</v>
      </c>
    </row>
    <row r="43" spans="2:5" x14ac:dyDescent="0.3">
      <c r="B43" s="17"/>
      <c r="C43" s="2">
        <v>9</v>
      </c>
      <c r="D43" s="12">
        <v>33</v>
      </c>
      <c r="E43" s="14">
        <v>3371838</v>
      </c>
    </row>
    <row r="44" spans="2:5" x14ac:dyDescent="0.3">
      <c r="B44" s="17"/>
      <c r="C44" s="2">
        <v>10</v>
      </c>
      <c r="D44" s="12">
        <v>34</v>
      </c>
      <c r="E44" s="14">
        <v>3122519</v>
      </c>
    </row>
    <row r="45" spans="2:5" x14ac:dyDescent="0.3">
      <c r="B45" s="17"/>
      <c r="C45" s="2">
        <v>11</v>
      </c>
      <c r="D45" s="12">
        <v>35</v>
      </c>
      <c r="E45" s="14">
        <v>2533348</v>
      </c>
    </row>
    <row r="46" spans="2:5" x14ac:dyDescent="0.3">
      <c r="B46" s="17"/>
      <c r="C46" s="2">
        <v>12</v>
      </c>
      <c r="D46" s="12">
        <v>36</v>
      </c>
      <c r="E46" s="14">
        <v>2366764</v>
      </c>
    </row>
    <row r="47" spans="2:5" x14ac:dyDescent="0.3">
      <c r="B47" s="17">
        <v>2023</v>
      </c>
      <c r="C47" s="2">
        <v>1</v>
      </c>
      <c r="D47" s="12">
        <v>37</v>
      </c>
      <c r="E47" s="14">
        <v>2213510</v>
      </c>
    </row>
    <row r="48" spans="2:5" x14ac:dyDescent="0.3">
      <c r="B48" s="17"/>
      <c r="C48" s="2">
        <v>2</v>
      </c>
      <c r="D48" s="12">
        <v>38</v>
      </c>
      <c r="E48" s="14">
        <v>2303247</v>
      </c>
    </row>
    <row r="49" spans="2:5" x14ac:dyDescent="0.3">
      <c r="B49" s="17"/>
      <c r="C49" s="2">
        <v>3</v>
      </c>
      <c r="D49" s="12">
        <v>39</v>
      </c>
      <c r="E49" s="14">
        <v>2506116</v>
      </c>
    </row>
    <row r="50" spans="2:5" x14ac:dyDescent="0.3">
      <c r="B50" s="17"/>
      <c r="C50" s="2">
        <v>4</v>
      </c>
      <c r="D50" s="12">
        <v>40</v>
      </c>
      <c r="E50" s="14">
        <v>2680332</v>
      </c>
    </row>
    <row r="51" spans="2:5" x14ac:dyDescent="0.3">
      <c r="B51" s="17"/>
      <c r="C51" s="2">
        <v>5</v>
      </c>
      <c r="D51" s="12">
        <v>41</v>
      </c>
      <c r="E51" s="14">
        <v>3098519</v>
      </c>
    </row>
    <row r="52" spans="2:5" x14ac:dyDescent="0.3">
      <c r="B52" s="17"/>
      <c r="C52" s="2">
        <v>6</v>
      </c>
      <c r="D52" s="12">
        <v>42</v>
      </c>
      <c r="E52" s="14">
        <v>3581790</v>
      </c>
    </row>
    <row r="53" spans="2:5" x14ac:dyDescent="0.3">
      <c r="B53" s="17"/>
      <c r="C53" s="2">
        <v>7</v>
      </c>
      <c r="D53" s="12">
        <v>43</v>
      </c>
      <c r="E53" s="14">
        <v>4108779</v>
      </c>
    </row>
    <row r="54" spans="2:5" x14ac:dyDescent="0.3">
      <c r="B54" s="17"/>
      <c r="C54" s="2">
        <v>8</v>
      </c>
      <c r="D54" s="12">
        <v>44</v>
      </c>
      <c r="E54" s="14">
        <v>4196047</v>
      </c>
    </row>
    <row r="55" spans="2:5" x14ac:dyDescent="0.3">
      <c r="B55" s="17"/>
      <c r="C55" s="2">
        <v>9</v>
      </c>
      <c r="D55" s="12">
        <v>45</v>
      </c>
      <c r="E55" s="14">
        <v>3568440</v>
      </c>
    </row>
    <row r="56" spans="2:5" x14ac:dyDescent="0.3">
      <c r="B56" s="17"/>
      <c r="C56" s="2">
        <v>10</v>
      </c>
      <c r="D56" s="12">
        <v>46</v>
      </c>
      <c r="E56" s="14">
        <v>2983069</v>
      </c>
    </row>
    <row r="57" spans="2:5" x14ac:dyDescent="0.3">
      <c r="B57" s="17"/>
      <c r="C57" s="2">
        <v>11</v>
      </c>
      <c r="D57" s="12">
        <v>47</v>
      </c>
      <c r="E57" s="14">
        <v>2526391</v>
      </c>
    </row>
    <row r="58" spans="2:5" x14ac:dyDescent="0.3">
      <c r="B58" s="17"/>
      <c r="C58" s="2">
        <v>12</v>
      </c>
      <c r="D58" s="12">
        <v>48</v>
      </c>
      <c r="E58" s="14">
        <v>2472961</v>
      </c>
    </row>
  </sheetData>
  <mergeCells count="4">
    <mergeCell ref="B11:B22"/>
    <mergeCell ref="B23:B34"/>
    <mergeCell ref="B35:B46"/>
    <mergeCell ref="B47:B5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Z1</vt:lpstr>
      <vt:lpstr>Z2</vt:lpstr>
      <vt:lpstr>Z3</vt:lpstr>
      <vt:lpstr>Z4</vt:lpstr>
      <vt:lpstr>Z5</vt:lpstr>
      <vt:lpstr>Z6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Dorota</dc:creator>
  <cp:lastModifiedBy>prac608</cp:lastModifiedBy>
  <dcterms:created xsi:type="dcterms:W3CDTF">2024-03-11T15:11:12Z</dcterms:created>
  <dcterms:modified xsi:type="dcterms:W3CDTF">2026-03-10T09:54:27Z</dcterms:modified>
</cp:coreProperties>
</file>